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triangulo" sheetId="1" state="visible" r:id="rId3"/>
    <sheet name="x^2" sheetId="2" state="visible" r:id="rId4"/>
    <sheet name="1 entre x" sheetId="3" state="visible" r:id="rId5"/>
    <sheet name="t-student" sheetId="4" state="visible" r:id="rId6"/>
    <sheet name="t-student_2" sheetId="5" state="visible" r:id="rId7"/>
    <sheet name="t-student_3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<sst xmlns="http://schemas.openxmlformats.org/spreadsheetml/2006/main" count="190" uniqueCount="45">
  <si>
    <t xml:space="preserve">valor inic</t>
  </si>
  <si>
    <t xml:space="preserve">x0</t>
  </si>
  <si>
    <t xml:space="preserve">valor fin</t>
  </si>
  <si>
    <t xml:space="preserve">x1</t>
  </si>
  <si>
    <t xml:space="preserve">num_segmentos</t>
  </si>
  <si>
    <t xml:space="preserve">width</t>
  </si>
  <si>
    <t xml:space="preserve">W</t>
  </si>
  <si>
    <t xml:space="preserve">W/3</t>
  </si>
  <si>
    <t xml:space="preserve">x</t>
  </si>
  <si>
    <t xml:space="preserve">f(x) = 2x</t>
  </si>
  <si>
    <t xml:space="preserve">multiplicador</t>
  </si>
  <si>
    <t xml:space="preserve">f(x)</t>
  </si>
  <si>
    <t xml:space="preserve"> </t>
  </si>
  <si>
    <t xml:space="preserve">sum</t>
  </si>
  <si>
    <t xml:space="preserve">integral</t>
  </si>
  <si>
    <t xml:space="preserve">Comprobacion</t>
  </si>
  <si>
    <t xml:space="preserve">2x</t>
  </si>
  <si>
    <t xml:space="preserve">x^2</t>
  </si>
  <si>
    <t xml:space="preserve">inicial</t>
  </si>
  <si>
    <t xml:space="preserve">final</t>
  </si>
  <si>
    <t xml:space="preserve">w </t>
  </si>
  <si>
    <t xml:space="preserve">w/3</t>
  </si>
  <si>
    <t xml:space="preserve">f(x) = x^2</t>
  </si>
  <si>
    <t xml:space="preserve">f(x) * multiplicador</t>
  </si>
  <si>
    <t xml:space="preserve">f(x) = 1</t>
  </si>
  <si>
    <t xml:space="preserve">x^3/3</t>
  </si>
  <si>
    <t xml:space="preserve">1/3</t>
  </si>
  <si>
    <t xml:space="preserve">f(x) = 1/x</t>
  </si>
  <si>
    <t xml:space="preserve">mult</t>
  </si>
  <si>
    <t xml:space="preserve">f(x) * mult</t>
  </si>
  <si>
    <t xml:space="preserve">Integral</t>
  </si>
  <si>
    <t xml:space="preserve">1/x</t>
  </si>
  <si>
    <t xml:space="preserve">ln (x)</t>
  </si>
  <si>
    <t xml:space="preserve">iter</t>
  </si>
  <si>
    <t xml:space="preserve">Error</t>
  </si>
  <si>
    <t xml:space="preserve">segmento</t>
  </si>
  <si>
    <t xml:space="preserve">dof</t>
  </si>
  <si>
    <t xml:space="preserve">f(x) = …</t>
  </si>
  <si>
    <t xml:space="preserve">p1</t>
  </si>
  <si>
    <t xml:space="preserve">p2</t>
  </si>
  <si>
    <t xml:space="preserve">cons</t>
  </si>
  <si>
    <t xml:space="preserve">f(X)</t>
  </si>
  <si>
    <t xml:space="preserve">termino</t>
  </si>
  <si>
    <t xml:space="preserve">iter 1</t>
  </si>
  <si>
    <t xml:space="preserve">iter 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</si>
</sst>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-mmm"/>
    <numFmt numFmtId="167" formatCode="0.0000000000"/>
  </numFmts>
  <fonts count="7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0"/>
      <name val="Calibri"/>
      <family val="2"/>
      <charset val="1"/>
    </font>
    <font>
      <sz val="10"/>
      <color rgb="FF000000"/>
      <name val="Calibri"/>
      <family val="2"/>
    </font>
    <font>
      <sz val="12"/>
      <color rgb="FFFFFFFF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4"/>
        <bgColor rgb="FF4A7EBB"/>
      </patternFill>
    </fill>
    <fill>
      <patternFill patternType="solid">
        <fgColor theme="4" tint="-0.5"/>
        <bgColor rgb="FF1F497D"/>
      </patternFill>
    </fill>
    <fill>
      <patternFill patternType="solid">
        <fgColor theme="5"/>
        <bgColor rgb="FF993366"/>
      </patternFill>
    </fill>
    <fill>
      <patternFill patternType="solid">
        <fgColor theme="3"/>
        <bgColor rgb="FF254061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25406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triangulo!$B$9:$B$13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triangulo!$C$9:$C$13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yVal>
          <c:smooth val="0"/>
        </c:ser>
        <c:axId val="86111598"/>
        <c:axId val="58361871"/>
      </c:scatterChart>
      <c:valAx>
        <c:axId val="8611159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361871"/>
        <c:crosses val="autoZero"/>
        <c:crossBetween val="midCat"/>
      </c:valAx>
      <c:valAx>
        <c:axId val="583618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11159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'x^2'!$B$9:$B$13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'x^2'!$C$9:$C$13</c:f>
              <c:numCache>
                <c:formatCode>General</c:formatCode>
                <c:ptCount val="5"/>
                <c:pt idx="0">
                  <c:v>0</c:v>
                </c:pt>
                <c:pt idx="1">
                  <c:v>0.0625</c:v>
                </c:pt>
                <c:pt idx="2">
                  <c:v>0.25</c:v>
                </c:pt>
                <c:pt idx="3">
                  <c:v>0.5625</c:v>
                </c:pt>
                <c:pt idx="4">
                  <c:v>1</c:v>
                </c:pt>
              </c:numCache>
            </c:numRef>
          </c:yVal>
          <c:smooth val="0"/>
        </c:ser>
        <c:axId val="54828775"/>
        <c:axId val="38693694"/>
      </c:scatterChart>
      <c:valAx>
        <c:axId val="5482877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693694"/>
        <c:crosses val="autoZero"/>
        <c:crossBetween val="midCat"/>
      </c:valAx>
      <c:valAx>
        <c:axId val="386936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82877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'1 entre x'!$B$9:$B$15</c:f>
              <c:numCache>
                <c:formatCode>General</c:formatCode>
                <c:ptCount val="7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</c:numCache>
            </c:numRef>
          </c:xVal>
          <c:yVal>
            <c:numRef>
              <c:f>'1 entre x'!$C$9:$C$15</c:f>
              <c:numCache>
                <c:formatCode>General</c:formatCode>
                <c:ptCount val="7"/>
                <c:pt idx="0">
                  <c:v>1</c:v>
                </c:pt>
                <c:pt idx="1">
                  <c:v>0.666666666666667</c:v>
                </c:pt>
                <c:pt idx="2">
                  <c:v>0.5</c:v>
                </c:pt>
                <c:pt idx="3">
                  <c:v>0.4</c:v>
                </c:pt>
                <c:pt idx="4">
                  <c:v>0.333333333333333</c:v>
                </c:pt>
                <c:pt idx="5">
                  <c:v>0.285714285714286</c:v>
                </c:pt>
                <c:pt idx="6">
                  <c:v>0.25</c:v>
                </c:pt>
              </c:numCache>
            </c:numRef>
          </c:yVal>
          <c:smooth val="0"/>
        </c:ser>
        <c:axId val="9435884"/>
        <c:axId val="9942970"/>
      </c:scatterChart>
      <c:valAx>
        <c:axId val="94358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42970"/>
        <c:crosses val="autoZero"/>
        <c:crossBetween val="midCat"/>
      </c:valAx>
      <c:valAx>
        <c:axId val="99429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3588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'1 entre x'!$B$31:$B$43</c:f>
              <c:numCache>
                <c:formatCode>General</c:formatCode>
                <c:ptCount val="13"/>
                <c:pt idx="0">
                  <c:v>1</c:v>
                </c:pt>
                <c:pt idx="1">
                  <c:v>1.25</c:v>
                </c:pt>
                <c:pt idx="2">
                  <c:v>1.5</c:v>
                </c:pt>
                <c:pt idx="3">
                  <c:v>1.75</c:v>
                </c:pt>
                <c:pt idx="4">
                  <c:v>2</c:v>
                </c:pt>
                <c:pt idx="5">
                  <c:v>2.25</c:v>
                </c:pt>
                <c:pt idx="6">
                  <c:v>2.5</c:v>
                </c:pt>
                <c:pt idx="7">
                  <c:v>2.75</c:v>
                </c:pt>
                <c:pt idx="8">
                  <c:v>3</c:v>
                </c:pt>
                <c:pt idx="9">
                  <c:v>3.25</c:v>
                </c:pt>
                <c:pt idx="10">
                  <c:v>3.5</c:v>
                </c:pt>
                <c:pt idx="11">
                  <c:v>3.75</c:v>
                </c:pt>
                <c:pt idx="12">
                  <c:v>4</c:v>
                </c:pt>
              </c:numCache>
            </c:numRef>
          </c:xVal>
          <c:yVal>
            <c:numRef>
              <c:f>'1 entre x'!$C$31:$C$43</c:f>
              <c:numCache>
                <c:formatCode>General</c:formatCode>
                <c:ptCount val="13"/>
                <c:pt idx="0">
                  <c:v>1</c:v>
                </c:pt>
                <c:pt idx="1">
                  <c:v>0.8</c:v>
                </c:pt>
                <c:pt idx="2">
                  <c:v>0.666666666666667</c:v>
                </c:pt>
                <c:pt idx="3">
                  <c:v>0.571428571428571</c:v>
                </c:pt>
                <c:pt idx="4">
                  <c:v>0.5</c:v>
                </c:pt>
                <c:pt idx="5">
                  <c:v>0.444444444444444</c:v>
                </c:pt>
                <c:pt idx="6">
                  <c:v>0.4</c:v>
                </c:pt>
                <c:pt idx="7">
                  <c:v>0.363636363636364</c:v>
                </c:pt>
                <c:pt idx="8">
                  <c:v>0.333333333333333</c:v>
                </c:pt>
                <c:pt idx="9">
                  <c:v>0.307692307692308</c:v>
                </c:pt>
                <c:pt idx="10">
                  <c:v>0.285714285714286</c:v>
                </c:pt>
                <c:pt idx="11">
                  <c:v>0.266666666666667</c:v>
                </c:pt>
                <c:pt idx="12">
                  <c:v>0.25</c:v>
                </c:pt>
              </c:numCache>
            </c:numRef>
          </c:yVal>
          <c:smooth val="0"/>
        </c:ser>
        <c:axId val="43741114"/>
        <c:axId val="10199984"/>
      </c:scatterChart>
      <c:valAx>
        <c:axId val="4374111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199984"/>
        <c:crosses val="autoZero"/>
        <c:crossBetween val="midCat"/>
      </c:valAx>
      <c:valAx>
        <c:axId val="101999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74111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't-student'!$B$9:$B$19</c:f>
              <c:numCache>
                <c:formatCode>General</c:formatCode>
                <c:ptCount val="11"/>
                <c:pt idx="0">
                  <c:v>0</c:v>
                </c:pt>
                <c:pt idx="1">
                  <c:v>0.11</c:v>
                </c:pt>
                <c:pt idx="2">
                  <c:v>0.22</c:v>
                </c:pt>
                <c:pt idx="3">
                  <c:v>0.33</c:v>
                </c:pt>
                <c:pt idx="4">
                  <c:v>0.44</c:v>
                </c:pt>
                <c:pt idx="5">
                  <c:v>0.55</c:v>
                </c:pt>
                <c:pt idx="6">
                  <c:v>0.66</c:v>
                </c:pt>
                <c:pt idx="7">
                  <c:v>0.77</c:v>
                </c:pt>
                <c:pt idx="8">
                  <c:v>0.88</c:v>
                </c:pt>
                <c:pt idx="9">
                  <c:v>0.99</c:v>
                </c:pt>
                <c:pt idx="10">
                  <c:v>1.1</c:v>
                </c:pt>
              </c:numCache>
            </c:numRef>
          </c:xVal>
          <c:yVal>
            <c:numRef>
              <c:f>'t-student'!$F$9:$F$19</c:f>
              <c:numCache>
                <c:formatCode>General</c:formatCode>
                <c:ptCount val="11"/>
                <c:pt idx="0">
                  <c:v>0.388034908871669</c:v>
                </c:pt>
                <c:pt idx="1">
                  <c:v>0.385436939844832</c:v>
                </c:pt>
                <c:pt idx="2">
                  <c:v>0.377767323980263</c:v>
                </c:pt>
                <c:pt idx="3">
                  <c:v>0.365387489607799</c:v>
                </c:pt>
                <c:pt idx="4">
                  <c:v>0.348863331270198</c:v>
                </c:pt>
                <c:pt idx="5">
                  <c:v>0.328915963281718</c:v>
                </c:pt>
                <c:pt idx="6">
                  <c:v>0.306362592894306</c:v>
                </c:pt>
                <c:pt idx="7">
                  <c:v>0.282054971406634</c:v>
                </c:pt>
                <c:pt idx="8">
                  <c:v>0.256822344419287</c:v>
                </c:pt>
                <c:pt idx="9">
                  <c:v>0.231424258297114</c:v>
                </c:pt>
                <c:pt idx="10">
                  <c:v>0.206516442244851</c:v>
                </c:pt>
              </c:numCache>
            </c:numRef>
          </c:yVal>
          <c:smooth val="0"/>
        </c:ser>
        <c:axId val="4680128"/>
        <c:axId val="3354304"/>
      </c:scatterChart>
      <c:valAx>
        <c:axId val="46801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54304"/>
        <c:crosses val="autoZero"/>
        <c:crossBetween val="midCat"/>
      </c:valAx>
      <c:valAx>
        <c:axId val="33543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8012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't-student'!$B$36:$B$56</c:f>
              <c:numCache>
                <c:formatCode>General</c:formatCode>
                <c:ptCount val="21"/>
                <c:pt idx="0">
                  <c:v>0</c:v>
                </c:pt>
                <c:pt idx="1">
                  <c:v>0.055</c:v>
                </c:pt>
                <c:pt idx="2">
                  <c:v>0.11</c:v>
                </c:pt>
                <c:pt idx="3">
                  <c:v>0.165</c:v>
                </c:pt>
                <c:pt idx="4">
                  <c:v>0.22</c:v>
                </c:pt>
                <c:pt idx="5">
                  <c:v>0.275</c:v>
                </c:pt>
                <c:pt idx="6">
                  <c:v>0.33</c:v>
                </c:pt>
                <c:pt idx="7">
                  <c:v>0.385</c:v>
                </c:pt>
                <c:pt idx="8">
                  <c:v>0.44</c:v>
                </c:pt>
                <c:pt idx="9">
                  <c:v>0.495</c:v>
                </c:pt>
                <c:pt idx="10">
                  <c:v>0.55</c:v>
                </c:pt>
                <c:pt idx="11">
                  <c:v>0.605</c:v>
                </c:pt>
                <c:pt idx="12">
                  <c:v>0.66</c:v>
                </c:pt>
                <c:pt idx="13">
                  <c:v>0.715</c:v>
                </c:pt>
                <c:pt idx="14">
                  <c:v>0.77</c:v>
                </c:pt>
                <c:pt idx="15">
                  <c:v>0.825</c:v>
                </c:pt>
                <c:pt idx="16">
                  <c:v>0.88</c:v>
                </c:pt>
                <c:pt idx="17">
                  <c:v>0.935</c:v>
                </c:pt>
                <c:pt idx="18">
                  <c:v>0.99</c:v>
                </c:pt>
                <c:pt idx="19">
                  <c:v>1.045</c:v>
                </c:pt>
                <c:pt idx="20">
                  <c:v>1.1</c:v>
                </c:pt>
              </c:numCache>
            </c:numRef>
          </c:xVal>
          <c:yVal>
            <c:numRef>
              <c:f>'t-student'!$F$36:$F$56</c:f>
              <c:numCache>
                <c:formatCode>General</c:formatCode>
                <c:ptCount val="21"/>
                <c:pt idx="0">
                  <c:v>0.388034908871669</c:v>
                </c:pt>
                <c:pt idx="1">
                  <c:v>0.38738345168298</c:v>
                </c:pt>
                <c:pt idx="2">
                  <c:v>0.385436939844832</c:v>
                </c:pt>
                <c:pt idx="3">
                  <c:v>0.382218768629231</c:v>
                </c:pt>
                <c:pt idx="4">
                  <c:v>0.377767323980263</c:v>
                </c:pt>
                <c:pt idx="5">
                  <c:v>0.372135096902515</c:v>
                </c:pt>
                <c:pt idx="6">
                  <c:v>0.365387489607799</c:v>
                </c:pt>
                <c:pt idx="7">
                  <c:v>0.35760135648171</c:v>
                </c:pt>
                <c:pt idx="8">
                  <c:v>0.348863331270198</c:v>
                </c:pt>
                <c:pt idx="9">
                  <c:v>0.339267997642972</c:v>
                </c:pt>
                <c:pt idx="10">
                  <c:v>0.328915963281718</c:v>
                </c:pt>
                <c:pt idx="11">
                  <c:v>0.317911897860492</c:v>
                </c:pt>
                <c:pt idx="12">
                  <c:v>0.306362592894306</c:v>
                </c:pt>
                <c:pt idx="13">
                  <c:v>0.294375096734876</c:v>
                </c:pt>
                <c:pt idx="14">
                  <c:v>0.282054971406634</c:v>
                </c:pt>
                <c:pt idx="15">
                  <c:v>0.269504709992254</c:v>
                </c:pt>
                <c:pt idx="16">
                  <c:v>0.256822344419286</c:v>
                </c:pt>
                <c:pt idx="17">
                  <c:v>0.244100264288032</c:v>
                </c:pt>
                <c:pt idx="18">
                  <c:v>0.231424258297114</c:v>
                </c:pt>
                <c:pt idx="19">
                  <c:v>0.218872781284747</c:v>
                </c:pt>
                <c:pt idx="20">
                  <c:v>0.206516442244851</c:v>
                </c:pt>
              </c:numCache>
            </c:numRef>
          </c:yVal>
          <c:smooth val="0"/>
        </c:ser>
        <c:axId val="58561715"/>
        <c:axId val="71470824"/>
      </c:scatterChart>
      <c:valAx>
        <c:axId val="5856171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470824"/>
        <c:crosses val="autoZero"/>
        <c:crossBetween val="midCat"/>
      </c:valAx>
      <c:valAx>
        <c:axId val="714708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56171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't-student_2'!$B$9:$B$19</c:f>
              <c:numCache>
                <c:formatCode>General</c:formatCode>
                <c:ptCount val="11"/>
                <c:pt idx="0">
                  <c:v>0</c:v>
                </c:pt>
                <c:pt idx="1">
                  <c:v>0.11812</c:v>
                </c:pt>
                <c:pt idx="2">
                  <c:v>0.23624</c:v>
                </c:pt>
                <c:pt idx="3">
                  <c:v>0.35436</c:v>
                </c:pt>
                <c:pt idx="4">
                  <c:v>0.47248</c:v>
                </c:pt>
                <c:pt idx="5">
                  <c:v>0.5906</c:v>
                </c:pt>
                <c:pt idx="6">
                  <c:v>0.70872</c:v>
                </c:pt>
                <c:pt idx="7">
                  <c:v>0.82684</c:v>
                </c:pt>
                <c:pt idx="8">
                  <c:v>0.94496</c:v>
                </c:pt>
                <c:pt idx="9">
                  <c:v>1.06308</c:v>
                </c:pt>
                <c:pt idx="10">
                  <c:v>1.1812</c:v>
                </c:pt>
              </c:numCache>
            </c:numRef>
          </c:xVal>
          <c:yVal>
            <c:numRef>
              <c:f>'t-student_2'!$F$9:$F$19</c:f>
              <c:numCache>
                <c:formatCode>General</c:formatCode>
                <c:ptCount val="11"/>
                <c:pt idx="0">
                  <c:v>0.389108383966031</c:v>
                </c:pt>
                <c:pt idx="1">
                  <c:v>0.386135942960016</c:v>
                </c:pt>
                <c:pt idx="2">
                  <c:v>0.377378298093173</c:v>
                </c:pt>
                <c:pt idx="3">
                  <c:v>0.363298168356358</c:v>
                </c:pt>
                <c:pt idx="4">
                  <c:v>0.344614976574681</c:v>
                </c:pt>
                <c:pt idx="5">
                  <c:v>0.32223572888519</c:v>
                </c:pt>
                <c:pt idx="6">
                  <c:v>0.29717338398818</c:v>
                </c:pt>
                <c:pt idx="7">
                  <c:v>0.270463887762654</c:v>
                </c:pt>
                <c:pt idx="8">
                  <c:v>0.243091858399736</c:v>
                </c:pt>
                <c:pt idx="9">
                  <c:v>0.2159321631187</c:v>
                </c:pt>
                <c:pt idx="10">
                  <c:v>0.189711144006202</c:v>
                </c:pt>
              </c:numCache>
            </c:numRef>
          </c:yVal>
          <c:smooth val="0"/>
        </c:ser>
        <c:axId val="36340349"/>
        <c:axId val="18487703"/>
      </c:scatterChart>
      <c:valAx>
        <c:axId val="3634034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487703"/>
        <c:crosses val="autoZero"/>
        <c:crossBetween val="midCat"/>
      </c:valAx>
      <c:valAx>
        <c:axId val="184877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34034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't-student_2'!$B$36:$B$56</c:f>
              <c:numCache>
                <c:formatCode>General</c:formatCode>
                <c:ptCount val="21"/>
                <c:pt idx="0">
                  <c:v>0</c:v>
                </c:pt>
                <c:pt idx="1">
                  <c:v>0.05906</c:v>
                </c:pt>
                <c:pt idx="2">
                  <c:v>0.11812</c:v>
                </c:pt>
                <c:pt idx="3">
                  <c:v>0.17718</c:v>
                </c:pt>
                <c:pt idx="4">
                  <c:v>0.23624</c:v>
                </c:pt>
                <c:pt idx="5">
                  <c:v>0.2953</c:v>
                </c:pt>
                <c:pt idx="6">
                  <c:v>0.35436</c:v>
                </c:pt>
                <c:pt idx="7">
                  <c:v>0.41342</c:v>
                </c:pt>
                <c:pt idx="8">
                  <c:v>0.47248</c:v>
                </c:pt>
                <c:pt idx="9">
                  <c:v>0.53154</c:v>
                </c:pt>
                <c:pt idx="10">
                  <c:v>0.5906</c:v>
                </c:pt>
                <c:pt idx="11">
                  <c:v>0.64966</c:v>
                </c:pt>
                <c:pt idx="12">
                  <c:v>0.70872</c:v>
                </c:pt>
                <c:pt idx="13">
                  <c:v>0.76778</c:v>
                </c:pt>
                <c:pt idx="14">
                  <c:v>0.82684</c:v>
                </c:pt>
                <c:pt idx="15">
                  <c:v>0.8859</c:v>
                </c:pt>
                <c:pt idx="16">
                  <c:v>0.94496</c:v>
                </c:pt>
                <c:pt idx="17">
                  <c:v>1.00402</c:v>
                </c:pt>
                <c:pt idx="18">
                  <c:v>1.06308</c:v>
                </c:pt>
                <c:pt idx="19">
                  <c:v>1.12214</c:v>
                </c:pt>
                <c:pt idx="20">
                  <c:v>1.1812</c:v>
                </c:pt>
              </c:numCache>
            </c:numRef>
          </c:xVal>
          <c:yVal>
            <c:numRef>
              <c:f>'t-student_2'!$F$36:$F$56</c:f>
              <c:numCache>
                <c:formatCode>General</c:formatCode>
                <c:ptCount val="21"/>
                <c:pt idx="0">
                  <c:v>0.389108383966031</c:v>
                </c:pt>
                <c:pt idx="1">
                  <c:v>0.388362746047521</c:v>
                </c:pt>
                <c:pt idx="2">
                  <c:v>0.386135942960016</c:v>
                </c:pt>
                <c:pt idx="3">
                  <c:v>0.382458043789136</c:v>
                </c:pt>
                <c:pt idx="4">
                  <c:v>0.377378298093173</c:v>
                </c:pt>
                <c:pt idx="5">
                  <c:v>0.370963874726927</c:v>
                </c:pt>
                <c:pt idx="6">
                  <c:v>0.363298168356358</c:v>
                </c:pt>
                <c:pt idx="7">
                  <c:v>0.35447874077901</c:v>
                </c:pt>
                <c:pt idx="8">
                  <c:v>0.344614976574681</c:v>
                </c:pt>
                <c:pt idx="9">
                  <c:v>0.33382554067243</c:v>
                </c:pt>
                <c:pt idx="10">
                  <c:v>0.32223572888519</c:v>
                </c:pt>
                <c:pt idx="11">
                  <c:v>0.309974801400728</c:v>
                </c:pt>
                <c:pt idx="12">
                  <c:v>0.29717338398818</c:v>
                </c:pt>
                <c:pt idx="13">
                  <c:v>0.283961012886165</c:v>
                </c:pt>
                <c:pt idx="14">
                  <c:v>0.270463887762654</c:v>
                </c:pt>
                <c:pt idx="15">
                  <c:v>0.256802883662576</c:v>
                </c:pt>
                <c:pt idx="16">
                  <c:v>0.243091858399736</c:v>
                </c:pt>
                <c:pt idx="17">
                  <c:v>0.22943627727797</c:v>
                </c:pt>
                <c:pt idx="18">
                  <c:v>0.2159321631187</c:v>
                </c:pt>
                <c:pt idx="19">
                  <c:v>0.202665366965603</c:v>
                </c:pt>
                <c:pt idx="20">
                  <c:v>0.189711144006202</c:v>
                </c:pt>
              </c:numCache>
            </c:numRef>
          </c:yVal>
          <c:smooth val="0"/>
        </c:ser>
        <c:axId val="74783638"/>
        <c:axId val="44648136"/>
      </c:scatterChart>
      <c:valAx>
        <c:axId val="7478363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648136"/>
        <c:crosses val="autoZero"/>
        <c:crossBetween val="midCat"/>
      </c:valAx>
      <c:valAx>
        <c:axId val="446481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78363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't-student_3'!$B$9:$B$19</c:f>
              <c:numCache>
                <c:formatCode>General</c:formatCode>
                <c:ptCount val="11"/>
                <c:pt idx="0">
                  <c:v>0</c:v>
                </c:pt>
                <c:pt idx="1">
                  <c:v>0.275</c:v>
                </c:pt>
                <c:pt idx="2">
                  <c:v>0.55</c:v>
                </c:pt>
                <c:pt idx="3">
                  <c:v>0.825</c:v>
                </c:pt>
                <c:pt idx="4">
                  <c:v>1.1</c:v>
                </c:pt>
                <c:pt idx="5">
                  <c:v>1.375</c:v>
                </c:pt>
                <c:pt idx="6">
                  <c:v>1.65</c:v>
                </c:pt>
                <c:pt idx="7">
                  <c:v>1.925</c:v>
                </c:pt>
                <c:pt idx="8">
                  <c:v>2.2</c:v>
                </c:pt>
                <c:pt idx="9">
                  <c:v>2.475</c:v>
                </c:pt>
                <c:pt idx="10">
                  <c:v>2.75</c:v>
                </c:pt>
              </c:numCache>
            </c:numRef>
          </c:xVal>
          <c:yVal>
            <c:numRef>
              <c:f>'t-student_3'!$F$9:$F$19</c:f>
              <c:numCache>
                <c:formatCode>General</c:formatCode>
                <c:ptCount val="11"/>
                <c:pt idx="0">
                  <c:v>0.395632184894098</c:v>
                </c:pt>
                <c:pt idx="1">
                  <c:v>0.380490497200481</c:v>
                </c:pt>
                <c:pt idx="2">
                  <c:v>0.338653005392078</c:v>
                </c:pt>
                <c:pt idx="3">
                  <c:v>0.27943186195848</c:v>
                </c:pt>
                <c:pt idx="4">
                  <c:v>0.214347117856641</c:v>
                </c:pt>
                <c:pt idx="5">
                  <c:v>0.153424277310709</c:v>
                </c:pt>
                <c:pt idx="6">
                  <c:v>0.102932063379167</c:v>
                </c:pt>
                <c:pt idx="7">
                  <c:v>0.06505551225018</c:v>
                </c:pt>
                <c:pt idx="8">
                  <c:v>0.0389457251329788</c:v>
                </c:pt>
                <c:pt idx="9">
                  <c:v>0.0222091959677987</c:v>
                </c:pt>
                <c:pt idx="10">
                  <c:v>0.01213323132656</c:v>
                </c:pt>
              </c:numCache>
            </c:numRef>
          </c:yVal>
          <c:smooth val="0"/>
        </c:ser>
        <c:axId val="63957691"/>
        <c:axId val="33280734"/>
      </c:scatterChart>
      <c:valAx>
        <c:axId val="6395769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280734"/>
        <c:crosses val="autoZero"/>
        <c:crossBetween val="midCat"/>
      </c:valAx>
      <c:valAx>
        <c:axId val="332807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95769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't-student_3'!$B$36:$B$56</c:f>
              <c:numCache>
                <c:formatCode>General</c:formatCode>
                <c:ptCount val="21"/>
                <c:pt idx="0">
                  <c:v>0</c:v>
                </c:pt>
                <c:pt idx="1">
                  <c:v>0.1375</c:v>
                </c:pt>
                <c:pt idx="2">
                  <c:v>0.275</c:v>
                </c:pt>
                <c:pt idx="3">
                  <c:v>0.4125</c:v>
                </c:pt>
                <c:pt idx="4">
                  <c:v>0.55</c:v>
                </c:pt>
                <c:pt idx="5">
                  <c:v>0.6875</c:v>
                </c:pt>
                <c:pt idx="6">
                  <c:v>0.825</c:v>
                </c:pt>
                <c:pt idx="7">
                  <c:v>0.9625</c:v>
                </c:pt>
                <c:pt idx="8">
                  <c:v>1.1</c:v>
                </c:pt>
                <c:pt idx="9">
                  <c:v>1.2375</c:v>
                </c:pt>
                <c:pt idx="10">
                  <c:v>1.375</c:v>
                </c:pt>
                <c:pt idx="11">
                  <c:v>1.5125</c:v>
                </c:pt>
                <c:pt idx="12">
                  <c:v>1.65</c:v>
                </c:pt>
                <c:pt idx="13">
                  <c:v>1.7875</c:v>
                </c:pt>
                <c:pt idx="14">
                  <c:v>1.925</c:v>
                </c:pt>
                <c:pt idx="15">
                  <c:v>2.0625</c:v>
                </c:pt>
                <c:pt idx="16">
                  <c:v>2.2</c:v>
                </c:pt>
                <c:pt idx="17">
                  <c:v>2.3375</c:v>
                </c:pt>
                <c:pt idx="18">
                  <c:v>2.475</c:v>
                </c:pt>
                <c:pt idx="19">
                  <c:v>2.6125</c:v>
                </c:pt>
                <c:pt idx="20">
                  <c:v>2.75</c:v>
                </c:pt>
              </c:numCache>
            </c:numRef>
          </c:xVal>
          <c:yVal>
            <c:numRef>
              <c:f>'t-student_3'!$F$36:$F$56</c:f>
              <c:numCache>
                <c:formatCode>General</c:formatCode>
                <c:ptCount val="21"/>
                <c:pt idx="0">
                  <c:v>0.395632184894098</c:v>
                </c:pt>
                <c:pt idx="1">
                  <c:v>0.391787578429961</c:v>
                </c:pt>
                <c:pt idx="2">
                  <c:v>0.380490497200481</c:v>
                </c:pt>
                <c:pt idx="3">
                  <c:v>0.362425621490001</c:v>
                </c:pt>
                <c:pt idx="4">
                  <c:v>0.338653005392078</c:v>
                </c:pt>
                <c:pt idx="5">
                  <c:v>0.310499723284862</c:v>
                </c:pt>
                <c:pt idx="6">
                  <c:v>0.27943186195848</c:v>
                </c:pt>
                <c:pt idx="7">
                  <c:v>0.246924672835798</c:v>
                </c:pt>
                <c:pt idx="8">
                  <c:v>0.214347117856641</c:v>
                </c:pt>
                <c:pt idx="9">
                  <c:v>0.182872874896958</c:v>
                </c:pt>
                <c:pt idx="10">
                  <c:v>0.153424277310709</c:v>
                </c:pt>
                <c:pt idx="11">
                  <c:v>0.126649940206204</c:v>
                </c:pt>
                <c:pt idx="12">
                  <c:v>0.102932063379167</c:v>
                </c:pt>
                <c:pt idx="13">
                  <c:v>0.0824162681848041</c:v>
                </c:pt>
                <c:pt idx="14">
                  <c:v>0.06505551225018</c:v>
                </c:pt>
                <c:pt idx="15">
                  <c:v>0.0506599128976205</c:v>
                </c:pt>
                <c:pt idx="16">
                  <c:v>0.0389457251329788</c:v>
                </c:pt>
                <c:pt idx="17">
                  <c:v>0.0295787096428231</c:v>
                </c:pt>
                <c:pt idx="18">
                  <c:v>0.0222091959677987</c:v>
                </c:pt>
                <c:pt idx="19">
                  <c:v>0.0164979426616478</c:v>
                </c:pt>
                <c:pt idx="20">
                  <c:v>0.0121332313265599</c:v>
                </c:pt>
              </c:numCache>
            </c:numRef>
          </c:yVal>
          <c:smooth val="0"/>
        </c:ser>
        <c:axId val="80239657"/>
        <c:axId val="32551462"/>
      </c:scatterChart>
      <c:valAx>
        <c:axId val="8023965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551462"/>
        <c:crosses val="autoZero"/>
        <c:crossBetween val="midCat"/>
      </c:valAx>
      <c:valAx>
        <c:axId val="325514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23965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image" Target="../media/image2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image" Target="../media/image2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321840</xdr:colOff>
      <xdr:row>0</xdr:row>
      <xdr:rowOff>110160</xdr:rowOff>
    </xdr:from>
    <xdr:to>
      <xdr:col>11</xdr:col>
      <xdr:colOff>766080</xdr:colOff>
      <xdr:row>14</xdr:row>
      <xdr:rowOff>186120</xdr:rowOff>
    </xdr:to>
    <xdr:graphicFrame>
      <xdr:nvGraphicFramePr>
        <xdr:cNvPr id="0" name="Gráfico 3"/>
        <xdr:cNvGraphicFramePr/>
      </xdr:nvGraphicFramePr>
      <xdr:xfrm>
        <a:off x="5706720" y="110160"/>
        <a:ext cx="503208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406440</xdr:colOff>
      <xdr:row>17</xdr:row>
      <xdr:rowOff>16920</xdr:rowOff>
    </xdr:from>
    <xdr:to>
      <xdr:col>11</xdr:col>
      <xdr:colOff>274680</xdr:colOff>
      <xdr:row>24</xdr:row>
      <xdr:rowOff>88560</xdr:rowOff>
    </xdr:to>
    <xdr:pic>
      <xdr:nvPicPr>
        <xdr:cNvPr id="1" name="Imagen 2" descr="simpson_rule.png"/>
        <xdr:cNvPicPr/>
      </xdr:nvPicPr>
      <xdr:blipFill>
        <a:blip r:embed="rId2"/>
        <a:stretch/>
      </xdr:blipFill>
      <xdr:spPr>
        <a:xfrm>
          <a:off x="1324080" y="3255480"/>
          <a:ext cx="8923320" cy="1405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575640</xdr:colOff>
      <xdr:row>3</xdr:row>
      <xdr:rowOff>110160</xdr:rowOff>
    </xdr:from>
    <xdr:to>
      <xdr:col>12</xdr:col>
      <xdr:colOff>190080</xdr:colOff>
      <xdr:row>17</xdr:row>
      <xdr:rowOff>186120</xdr:rowOff>
    </xdr:to>
    <xdr:graphicFrame>
      <xdr:nvGraphicFramePr>
        <xdr:cNvPr id="2" name="Gráfico 1"/>
        <xdr:cNvGraphicFramePr/>
      </xdr:nvGraphicFramePr>
      <xdr:xfrm>
        <a:off x="6565680" y="681840"/>
        <a:ext cx="511992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42480</xdr:colOff>
      <xdr:row>19</xdr:row>
      <xdr:rowOff>58320</xdr:rowOff>
    </xdr:from>
    <xdr:to>
      <xdr:col>9</xdr:col>
      <xdr:colOff>668520</xdr:colOff>
      <xdr:row>25</xdr:row>
      <xdr:rowOff>152280</xdr:rowOff>
    </xdr:to>
    <xdr:pic>
      <xdr:nvPicPr>
        <xdr:cNvPr id="3" name="Imagen 2" descr="simpson_rule.png"/>
        <xdr:cNvPicPr/>
      </xdr:nvPicPr>
      <xdr:blipFill>
        <a:blip r:embed="rId2"/>
        <a:stretch/>
      </xdr:blipFill>
      <xdr:spPr>
        <a:xfrm>
          <a:off x="1757160" y="3677760"/>
          <a:ext cx="7653960" cy="1236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50760</xdr:colOff>
      <xdr:row>1</xdr:row>
      <xdr:rowOff>25560</xdr:rowOff>
    </xdr:from>
    <xdr:to>
      <xdr:col>12</xdr:col>
      <xdr:colOff>495000</xdr:colOff>
      <xdr:row>17</xdr:row>
      <xdr:rowOff>101520</xdr:rowOff>
    </xdr:to>
    <xdr:graphicFrame>
      <xdr:nvGraphicFramePr>
        <xdr:cNvPr id="4" name="Gráfico 1"/>
        <xdr:cNvGraphicFramePr/>
      </xdr:nvGraphicFramePr>
      <xdr:xfrm>
        <a:off x="6769080" y="216000"/>
        <a:ext cx="5032080" cy="3124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360000</xdr:colOff>
      <xdr:row>23</xdr:row>
      <xdr:rowOff>2160</xdr:rowOff>
    </xdr:from>
    <xdr:to>
      <xdr:col>12</xdr:col>
      <xdr:colOff>203040</xdr:colOff>
      <xdr:row>44</xdr:row>
      <xdr:rowOff>147960</xdr:rowOff>
    </xdr:to>
    <xdr:graphicFrame>
      <xdr:nvGraphicFramePr>
        <xdr:cNvPr id="5" name="Gráfico 2"/>
        <xdr:cNvGraphicFramePr/>
      </xdr:nvGraphicFramePr>
      <xdr:xfrm>
        <a:off x="6160680" y="4383720"/>
        <a:ext cx="5348520" cy="4146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389520</xdr:colOff>
      <xdr:row>0</xdr:row>
      <xdr:rowOff>110160</xdr:rowOff>
    </xdr:from>
    <xdr:to>
      <xdr:col>14</xdr:col>
      <xdr:colOff>3960</xdr:colOff>
      <xdr:row>20</xdr:row>
      <xdr:rowOff>186120</xdr:rowOff>
    </xdr:to>
    <xdr:graphicFrame>
      <xdr:nvGraphicFramePr>
        <xdr:cNvPr id="6" name="Gráfico 1"/>
        <xdr:cNvGraphicFramePr/>
      </xdr:nvGraphicFramePr>
      <xdr:xfrm>
        <a:off x="9811800" y="110160"/>
        <a:ext cx="5927400" cy="3885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245520</xdr:colOff>
      <xdr:row>28</xdr:row>
      <xdr:rowOff>156600</xdr:rowOff>
    </xdr:from>
    <xdr:to>
      <xdr:col>13</xdr:col>
      <xdr:colOff>228240</xdr:colOff>
      <xdr:row>53</xdr:row>
      <xdr:rowOff>42120</xdr:rowOff>
    </xdr:to>
    <xdr:graphicFrame>
      <xdr:nvGraphicFramePr>
        <xdr:cNvPr id="7" name="Gráfico 2"/>
        <xdr:cNvGraphicFramePr/>
      </xdr:nvGraphicFramePr>
      <xdr:xfrm>
        <a:off x="9667800" y="5490720"/>
        <a:ext cx="5378040" cy="4647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85680</xdr:colOff>
      <xdr:row>22</xdr:row>
      <xdr:rowOff>53280</xdr:rowOff>
    </xdr:from>
    <xdr:to>
      <xdr:col>8</xdr:col>
      <xdr:colOff>347760</xdr:colOff>
      <xdr:row>26</xdr:row>
      <xdr:rowOff>182520</xdr:rowOff>
    </xdr:to>
    <xdr:pic>
      <xdr:nvPicPr>
        <xdr:cNvPr id="8" name="Imagen 3" descr="distribucionT.png"/>
        <xdr:cNvPicPr/>
      </xdr:nvPicPr>
      <xdr:blipFill>
        <a:blip r:embed="rId3"/>
        <a:stretch/>
      </xdr:blipFill>
      <xdr:spPr>
        <a:xfrm>
          <a:off x="1800360" y="4244400"/>
          <a:ext cx="7969680" cy="8910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389520</xdr:colOff>
      <xdr:row>0</xdr:row>
      <xdr:rowOff>110160</xdr:rowOff>
    </xdr:from>
    <xdr:to>
      <xdr:col>14</xdr:col>
      <xdr:colOff>3960</xdr:colOff>
      <xdr:row>20</xdr:row>
      <xdr:rowOff>186120</xdr:rowOff>
    </xdr:to>
    <xdr:graphicFrame>
      <xdr:nvGraphicFramePr>
        <xdr:cNvPr id="9" name="Gráfico 1"/>
        <xdr:cNvGraphicFramePr/>
      </xdr:nvGraphicFramePr>
      <xdr:xfrm>
        <a:off x="9811800" y="110160"/>
        <a:ext cx="5927400" cy="3885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245520</xdr:colOff>
      <xdr:row>28</xdr:row>
      <xdr:rowOff>156600</xdr:rowOff>
    </xdr:from>
    <xdr:to>
      <xdr:col>13</xdr:col>
      <xdr:colOff>228240</xdr:colOff>
      <xdr:row>53</xdr:row>
      <xdr:rowOff>42120</xdr:rowOff>
    </xdr:to>
    <xdr:graphicFrame>
      <xdr:nvGraphicFramePr>
        <xdr:cNvPr id="10" name="Gráfico 2"/>
        <xdr:cNvGraphicFramePr/>
      </xdr:nvGraphicFramePr>
      <xdr:xfrm>
        <a:off x="9667800" y="5490720"/>
        <a:ext cx="5378040" cy="4647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85680</xdr:colOff>
      <xdr:row>22</xdr:row>
      <xdr:rowOff>53280</xdr:rowOff>
    </xdr:from>
    <xdr:to>
      <xdr:col>8</xdr:col>
      <xdr:colOff>347760</xdr:colOff>
      <xdr:row>26</xdr:row>
      <xdr:rowOff>182520</xdr:rowOff>
    </xdr:to>
    <xdr:pic>
      <xdr:nvPicPr>
        <xdr:cNvPr id="11" name="Imagen 3" descr="distribucionT.png"/>
        <xdr:cNvPicPr/>
      </xdr:nvPicPr>
      <xdr:blipFill>
        <a:blip r:embed="rId3"/>
        <a:stretch/>
      </xdr:blipFill>
      <xdr:spPr>
        <a:xfrm>
          <a:off x="1800360" y="4244400"/>
          <a:ext cx="7969680" cy="8910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389520</xdr:colOff>
      <xdr:row>0</xdr:row>
      <xdr:rowOff>110160</xdr:rowOff>
    </xdr:from>
    <xdr:to>
      <xdr:col>14</xdr:col>
      <xdr:colOff>3960</xdr:colOff>
      <xdr:row>20</xdr:row>
      <xdr:rowOff>186120</xdr:rowOff>
    </xdr:to>
    <xdr:graphicFrame>
      <xdr:nvGraphicFramePr>
        <xdr:cNvPr id="12" name="Gráfico 4"/>
        <xdr:cNvGraphicFramePr/>
      </xdr:nvGraphicFramePr>
      <xdr:xfrm>
        <a:off x="9811800" y="110160"/>
        <a:ext cx="5927400" cy="3885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245520</xdr:colOff>
      <xdr:row>28</xdr:row>
      <xdr:rowOff>156600</xdr:rowOff>
    </xdr:from>
    <xdr:to>
      <xdr:col>13</xdr:col>
      <xdr:colOff>228240</xdr:colOff>
      <xdr:row>53</xdr:row>
      <xdr:rowOff>42120</xdr:rowOff>
    </xdr:to>
    <xdr:graphicFrame>
      <xdr:nvGraphicFramePr>
        <xdr:cNvPr id="13" name="Gráfico 5"/>
        <xdr:cNvGraphicFramePr/>
      </xdr:nvGraphicFramePr>
      <xdr:xfrm>
        <a:off x="9667800" y="5490720"/>
        <a:ext cx="5378040" cy="4647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85680</xdr:colOff>
      <xdr:row>22</xdr:row>
      <xdr:rowOff>53280</xdr:rowOff>
    </xdr:from>
    <xdr:to>
      <xdr:col>8</xdr:col>
      <xdr:colOff>347760</xdr:colOff>
      <xdr:row>26</xdr:row>
      <xdr:rowOff>182520</xdr:rowOff>
    </xdr:to>
    <xdr:pic>
      <xdr:nvPicPr>
        <xdr:cNvPr id="14" name="Imagen 1" descr="distribucionT.png"/>
        <xdr:cNvPicPr/>
      </xdr:nvPicPr>
      <xdr:blipFill>
        <a:blip r:embed="rId3"/>
        <a:stretch/>
      </xdr:blipFill>
      <xdr:spPr>
        <a:xfrm>
          <a:off x="1800360" y="4244400"/>
          <a:ext cx="7969680" cy="891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F15" activeCellId="0" sqref="F15"/>
    </sheetView>
  </sheetViews>
  <sheetFormatPr defaultColWidth="10.55078125" defaultRowHeight="15" zeroHeight="false" outlineLevelRow="0" outlineLevelCol="0"/>
  <cols>
    <col collapsed="false" customWidth="true" hidden="false" outlineLevel="0" max="2" min="2" style="0" width="9.16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n">
        <v>0</v>
      </c>
    </row>
    <row r="2" customFormat="false" ht="15" hidden="false" customHeight="false" outlineLevel="0" collapsed="false">
      <c r="A2" s="0" t="s">
        <v>2</v>
      </c>
      <c r="B2" s="1" t="s">
        <v>3</v>
      </c>
      <c r="C2" s="1" t="n">
        <v>4</v>
      </c>
    </row>
    <row r="3" customFormat="false" ht="15" hidden="false" customHeight="false" outlineLevel="0" collapsed="false">
      <c r="B3" s="1" t="s">
        <v>4</v>
      </c>
      <c r="C3" s="1" t="n">
        <v>4</v>
      </c>
    </row>
    <row r="5" customFormat="false" ht="15" hidden="false" customHeight="false" outlineLevel="0" collapsed="false">
      <c r="A5" s="0" t="s">
        <v>5</v>
      </c>
      <c r="B5" s="0" t="s">
        <v>6</v>
      </c>
      <c r="C5" s="0" t="n">
        <f aca="false">(C2-C1)/C3</f>
        <v>1</v>
      </c>
      <c r="E5" s="0" t="s">
        <v>7</v>
      </c>
      <c r="F5" s="0" t="n">
        <f aca="false">(C2-C1)/(3*C3)</f>
        <v>0.333333333333333</v>
      </c>
    </row>
    <row r="7" customFormat="false" ht="15" hidden="false" customHeight="false" outlineLevel="0" collapsed="false">
      <c r="B7" s="2" t="s">
        <v>8</v>
      </c>
      <c r="C7" s="2" t="s">
        <v>9</v>
      </c>
    </row>
    <row r="8" customFormat="false" ht="15" hidden="false" customHeight="false" outlineLevel="0" collapsed="false">
      <c r="B8" s="2"/>
      <c r="C8" s="2"/>
      <c r="D8" s="3" t="s">
        <v>10</v>
      </c>
      <c r="E8" s="3" t="s">
        <v>11</v>
      </c>
    </row>
    <row r="9" customFormat="false" ht="15" hidden="false" customHeight="false" outlineLevel="0" collapsed="false">
      <c r="B9" s="2" t="n">
        <v>0</v>
      </c>
      <c r="C9" s="2" t="n">
        <f aca="false">2*B9</f>
        <v>0</v>
      </c>
      <c r="D9" s="4" t="n">
        <v>1</v>
      </c>
      <c r="E9" s="4" t="n">
        <f aca="false">C9*D9</f>
        <v>0</v>
      </c>
      <c r="F9" s="3" t="n">
        <f aca="false">E9*$F$5</f>
        <v>0</v>
      </c>
    </row>
    <row r="10" customFormat="false" ht="15" hidden="false" customHeight="false" outlineLevel="0" collapsed="false">
      <c r="B10" s="2" t="n">
        <f aca="false">B9+$C$5</f>
        <v>1</v>
      </c>
      <c r="C10" s="2" t="n">
        <f aca="false">2*B10</f>
        <v>2</v>
      </c>
      <c r="D10" s="0" t="n">
        <v>4</v>
      </c>
      <c r="E10" s="4" t="n">
        <f aca="false">C10*D10</f>
        <v>8</v>
      </c>
      <c r="F10" s="3" t="n">
        <f aca="false">E10*$F$5</f>
        <v>2.66666666666667</v>
      </c>
    </row>
    <row r="11" customFormat="false" ht="15" hidden="false" customHeight="false" outlineLevel="0" collapsed="false">
      <c r="B11" s="2" t="n">
        <f aca="false">B10+$C$5</f>
        <v>2</v>
      </c>
      <c r="C11" s="2" t="n">
        <f aca="false">2*B11</f>
        <v>4</v>
      </c>
      <c r="D11" s="0" t="n">
        <v>2</v>
      </c>
      <c r="E11" s="4" t="n">
        <f aca="false">C11*D11</f>
        <v>8</v>
      </c>
      <c r="F11" s="3" t="n">
        <f aca="false">E11*$F$5</f>
        <v>2.66666666666667</v>
      </c>
    </row>
    <row r="12" customFormat="false" ht="15" hidden="false" customHeight="false" outlineLevel="0" collapsed="false">
      <c r="B12" s="2" t="n">
        <f aca="false">B11+$C$5</f>
        <v>3</v>
      </c>
      <c r="C12" s="2" t="n">
        <f aca="false">2*B12</f>
        <v>6</v>
      </c>
      <c r="D12" s="0" t="n">
        <v>4</v>
      </c>
      <c r="E12" s="4" t="n">
        <f aca="false">C12*D12</f>
        <v>24</v>
      </c>
      <c r="F12" s="3" t="n">
        <f aca="false">E12*$F$5</f>
        <v>8</v>
      </c>
    </row>
    <row r="13" customFormat="false" ht="15" hidden="false" customHeight="false" outlineLevel="0" collapsed="false">
      <c r="B13" s="2" t="n">
        <f aca="false">B12+$C$5</f>
        <v>4</v>
      </c>
      <c r="C13" s="2" t="n">
        <f aca="false">2*B13</f>
        <v>8</v>
      </c>
      <c r="D13" s="4" t="n">
        <v>1</v>
      </c>
      <c r="E13" s="4" t="n">
        <f aca="false">C13*D13</f>
        <v>8</v>
      </c>
      <c r="F13" s="3" t="n">
        <f aca="false">E13*$F$5</f>
        <v>2.66666666666667</v>
      </c>
    </row>
    <row r="14" customFormat="false" ht="15" hidden="false" customHeight="false" outlineLevel="0" collapsed="false">
      <c r="C14" s="0" t="s">
        <v>12</v>
      </c>
    </row>
    <row r="15" customFormat="false" ht="15" hidden="false" customHeight="false" outlineLevel="0" collapsed="false">
      <c r="D15" s="0" t="s">
        <v>13</v>
      </c>
      <c r="E15" s="4" t="n">
        <f aca="false">SUM(E9:E13)</f>
        <v>48</v>
      </c>
      <c r="F15" s="3" t="n">
        <f aca="false">SUM(F9:F13)</f>
        <v>16</v>
      </c>
    </row>
    <row r="16" customFormat="false" ht="15" hidden="false" customHeight="false" outlineLevel="0" collapsed="false">
      <c r="D16" s="0" t="s">
        <v>12</v>
      </c>
      <c r="E16" s="0" t="s">
        <v>14</v>
      </c>
      <c r="F16" s="0" t="s">
        <v>12</v>
      </c>
    </row>
    <row r="17" customFormat="false" ht="15" hidden="false" customHeight="false" outlineLevel="0" collapsed="false">
      <c r="C17" s="0" t="s">
        <v>15</v>
      </c>
      <c r="D17" s="0" t="s">
        <v>16</v>
      </c>
      <c r="E17" s="0" t="s">
        <v>17</v>
      </c>
      <c r="F17" s="0" t="n">
        <v>16</v>
      </c>
      <c r="G17" s="0" t="n">
        <v>4</v>
      </c>
    </row>
    <row r="18" customFormat="false" ht="15" hidden="false" customHeight="false" outlineLevel="0" collapsed="false">
      <c r="F18" s="0" t="n">
        <v>0</v>
      </c>
      <c r="G18" s="0" t="n">
        <v>0</v>
      </c>
    </row>
    <row r="19" customFormat="false" ht="15" hidden="false" customHeight="false" outlineLevel="0" collapsed="false">
      <c r="F19" s="5" t="n">
        <f aca="false">F17-F18</f>
        <v>16</v>
      </c>
    </row>
    <row r="20" customFormat="false" ht="15" hidden="false" customHeight="false" outlineLevel="0" collapsed="false">
      <c r="F20" s="0" t="s">
        <v>12</v>
      </c>
    </row>
    <row r="21" customFormat="false" ht="15" hidden="false" customHeight="false" outlineLevel="0" collapsed="false">
      <c r="F21" s="0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C3" activeCellId="0" sqref="C3"/>
    </sheetView>
  </sheetViews>
  <sheetFormatPr defaultColWidth="10.55078125" defaultRowHeight="15" zeroHeight="false" outlineLevelRow="0" outlineLevelCol="0"/>
  <cols>
    <col collapsed="false" customWidth="true" hidden="false" outlineLevel="0" max="2" min="2" style="0" width="9.16"/>
    <col collapsed="false" customWidth="true" hidden="false" outlineLevel="0" max="5" min="5" style="0" width="17.5"/>
  </cols>
  <sheetData>
    <row r="1" customFormat="false" ht="15" hidden="false" customHeight="false" outlineLevel="0" collapsed="false">
      <c r="A1" s="0" t="s">
        <v>18</v>
      </c>
      <c r="B1" s="0" t="s">
        <v>1</v>
      </c>
      <c r="C1" s="0" t="n">
        <v>0</v>
      </c>
    </row>
    <row r="2" customFormat="false" ht="15" hidden="false" customHeight="false" outlineLevel="0" collapsed="false">
      <c r="A2" s="0" t="s">
        <v>19</v>
      </c>
      <c r="B2" s="4" t="s">
        <v>3</v>
      </c>
      <c r="C2" s="4" t="n">
        <v>1</v>
      </c>
    </row>
    <row r="3" customFormat="false" ht="15" hidden="false" customHeight="false" outlineLevel="0" collapsed="false">
      <c r="B3" s="4" t="s">
        <v>4</v>
      </c>
      <c r="C3" s="4" t="n">
        <v>4</v>
      </c>
    </row>
    <row r="5" customFormat="false" ht="15" hidden="false" customHeight="false" outlineLevel="0" collapsed="false">
      <c r="B5" s="0" t="s">
        <v>20</v>
      </c>
      <c r="C5" s="0" t="n">
        <f aca="false">(C2-C1)/C3</f>
        <v>0.25</v>
      </c>
      <c r="E5" s="0" t="s">
        <v>21</v>
      </c>
      <c r="F5" s="0" t="n">
        <f aca="false">(C2-C1)/(3*C3)</f>
        <v>0.0833333333333333</v>
      </c>
    </row>
    <row r="6" customFormat="false" ht="15" hidden="false" customHeight="false" outlineLevel="0" collapsed="false">
      <c r="E6" s="0" t="s">
        <v>12</v>
      </c>
      <c r="F6" s="0" t="s">
        <v>12</v>
      </c>
    </row>
    <row r="7" customFormat="false" ht="15" hidden="false" customHeight="false" outlineLevel="0" collapsed="false">
      <c r="B7" s="2" t="s">
        <v>8</v>
      </c>
      <c r="C7" s="2" t="s">
        <v>22</v>
      </c>
      <c r="D7" s="3" t="s">
        <v>10</v>
      </c>
      <c r="E7" s="3" t="s">
        <v>23</v>
      </c>
    </row>
    <row r="8" customFormat="false" ht="15" hidden="false" customHeight="false" outlineLevel="0" collapsed="false">
      <c r="B8" s="2"/>
      <c r="C8" s="2"/>
    </row>
    <row r="9" customFormat="false" ht="15" hidden="false" customHeight="false" outlineLevel="0" collapsed="false">
      <c r="B9" s="2" t="n">
        <v>0</v>
      </c>
      <c r="C9" s="2" t="n">
        <f aca="false">B9^2</f>
        <v>0</v>
      </c>
      <c r="D9" s="4" t="n">
        <v>1</v>
      </c>
      <c r="E9" s="4" t="n">
        <f aca="false">D9*C9</f>
        <v>0</v>
      </c>
      <c r="F9" s="3" t="n">
        <f aca="false">E9*$F$5</f>
        <v>0</v>
      </c>
    </row>
    <row r="10" customFormat="false" ht="15" hidden="false" customHeight="false" outlineLevel="0" collapsed="false">
      <c r="B10" s="2" t="n">
        <f aca="false">B9+$C$5</f>
        <v>0.25</v>
      </c>
      <c r="C10" s="2" t="n">
        <f aca="false">B10^2</f>
        <v>0.0625</v>
      </c>
      <c r="D10" s="0" t="n">
        <v>4</v>
      </c>
      <c r="E10" s="4" t="n">
        <f aca="false">D10*C10</f>
        <v>0.25</v>
      </c>
      <c r="F10" s="3" t="n">
        <f aca="false">E10*$F$5</f>
        <v>0.0208333333333333</v>
      </c>
    </row>
    <row r="11" customFormat="false" ht="15" hidden="false" customHeight="false" outlineLevel="0" collapsed="false">
      <c r="B11" s="2" t="n">
        <f aca="false">B10+$C$5</f>
        <v>0.5</v>
      </c>
      <c r="C11" s="2" t="n">
        <f aca="false">B11^2</f>
        <v>0.25</v>
      </c>
      <c r="D11" s="0" t="n">
        <v>2</v>
      </c>
      <c r="E11" s="4" t="n">
        <f aca="false">D11*C11</f>
        <v>0.5</v>
      </c>
      <c r="F11" s="3" t="n">
        <f aca="false">E11*$F$5</f>
        <v>0.0416666666666667</v>
      </c>
    </row>
    <row r="12" customFormat="false" ht="15" hidden="false" customHeight="false" outlineLevel="0" collapsed="false">
      <c r="B12" s="2" t="n">
        <f aca="false">B11+$C$5</f>
        <v>0.75</v>
      </c>
      <c r="C12" s="2" t="n">
        <f aca="false">B12^2</f>
        <v>0.5625</v>
      </c>
      <c r="D12" s="0" t="n">
        <v>4</v>
      </c>
      <c r="E12" s="4" t="n">
        <f aca="false">D12*C12</f>
        <v>2.25</v>
      </c>
      <c r="F12" s="3" t="n">
        <f aca="false">E12*$F$5</f>
        <v>0.1875</v>
      </c>
    </row>
    <row r="13" customFormat="false" ht="15" hidden="false" customHeight="false" outlineLevel="0" collapsed="false">
      <c r="B13" s="2" t="n">
        <f aca="false">B12+$C$5</f>
        <v>1</v>
      </c>
      <c r="C13" s="2" t="n">
        <f aca="false">B13^2</f>
        <v>1</v>
      </c>
      <c r="D13" s="1" t="n">
        <v>1</v>
      </c>
      <c r="E13" s="4" t="n">
        <f aca="false">D13*C13</f>
        <v>1</v>
      </c>
      <c r="F13" s="3" t="n">
        <f aca="false">E13*$F$5</f>
        <v>0.0833333333333333</v>
      </c>
    </row>
    <row r="15" customFormat="false" ht="15" hidden="false" customHeight="false" outlineLevel="0" collapsed="false">
      <c r="D15" s="0" t="s">
        <v>13</v>
      </c>
      <c r="E15" s="4" t="n">
        <f aca="false">SUM(E9:E13)</f>
        <v>4</v>
      </c>
      <c r="F15" s="5" t="n">
        <f aca="false">SUM(F9:F13)</f>
        <v>0.333333333333333</v>
      </c>
    </row>
    <row r="16" customFormat="false" ht="15" hidden="false" customHeight="false" outlineLevel="0" collapsed="false">
      <c r="D16" s="0" t="s">
        <v>14</v>
      </c>
      <c r="E16" s="0" t="s">
        <v>24</v>
      </c>
      <c r="F16" s="0" t="s">
        <v>12</v>
      </c>
    </row>
    <row r="17" customFormat="false" ht="15" hidden="false" customHeight="false" outlineLevel="0" collapsed="false">
      <c r="D17" s="0" t="s">
        <v>25</v>
      </c>
      <c r="E17" s="0" t="n">
        <v>1</v>
      </c>
      <c r="F17" s="6" t="s">
        <v>26</v>
      </c>
    </row>
    <row r="18" customFormat="false" ht="15" hidden="false" customHeight="false" outlineLevel="0" collapsed="false">
      <c r="D18" s="0" t="s">
        <v>12</v>
      </c>
      <c r="E18" s="0" t="s">
        <v>12</v>
      </c>
      <c r="F18" s="3" t="s">
        <v>12</v>
      </c>
    </row>
    <row r="19" customFormat="false" ht="15" hidden="false" customHeight="false" outlineLevel="0" collapsed="false">
      <c r="F19" s="5" t="n">
        <f aca="false">1/3</f>
        <v>0.333333333333333</v>
      </c>
    </row>
    <row r="20" customFormat="false" ht="15" hidden="false" customHeight="false" outlineLevel="0" collapsed="false">
      <c r="F20" s="0" t="s">
        <v>12</v>
      </c>
    </row>
    <row r="21" customFormat="false" ht="15" hidden="false" customHeight="false" outlineLevel="0" collapsed="false">
      <c r="F21" s="0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F24" activeCellId="0" sqref="F24"/>
    </sheetView>
  </sheetViews>
  <sheetFormatPr defaultColWidth="10.55078125" defaultRowHeight="15" zeroHeight="false" outlineLevelRow="0" outlineLevelCol="0"/>
  <cols>
    <col collapsed="false" customWidth="true" hidden="false" outlineLevel="0" max="2" min="2" style="0" width="9.16"/>
    <col collapsed="false" customWidth="true" hidden="false" outlineLevel="0" max="6" min="6" style="0" width="15.33"/>
  </cols>
  <sheetData>
    <row r="1" customFormat="false" ht="15" hidden="false" customHeight="false" outlineLevel="0" collapsed="false">
      <c r="A1" s="0" t="s">
        <v>18</v>
      </c>
      <c r="B1" s="0" t="s">
        <v>1</v>
      </c>
      <c r="C1" s="0" t="n">
        <v>1</v>
      </c>
    </row>
    <row r="2" customFormat="false" ht="15" hidden="false" customHeight="false" outlineLevel="0" collapsed="false">
      <c r="A2" s="0" t="s">
        <v>19</v>
      </c>
      <c r="B2" s="4" t="s">
        <v>3</v>
      </c>
      <c r="C2" s="4" t="n">
        <v>4</v>
      </c>
    </row>
    <row r="3" customFormat="false" ht="15" hidden="false" customHeight="false" outlineLevel="0" collapsed="false">
      <c r="B3" s="4" t="s">
        <v>4</v>
      </c>
      <c r="C3" s="4" t="n">
        <v>6</v>
      </c>
      <c r="F3" s="3" t="s">
        <v>12</v>
      </c>
    </row>
    <row r="5" customFormat="false" ht="15" hidden="false" customHeight="false" outlineLevel="0" collapsed="false">
      <c r="B5" s="0" t="s">
        <v>20</v>
      </c>
      <c r="C5" s="0" t="n">
        <f aca="false">(C2-C1)/C3</f>
        <v>0.5</v>
      </c>
      <c r="E5" s="0" t="s">
        <v>21</v>
      </c>
      <c r="F5" s="0" t="n">
        <f aca="false">(C2-C1)/(3*C3)</f>
        <v>0.166666666666667</v>
      </c>
    </row>
    <row r="6" customFormat="false" ht="15" hidden="false" customHeight="false" outlineLevel="0" collapsed="false">
      <c r="E6" s="0" t="s">
        <v>12</v>
      </c>
      <c r="F6" s="0" t="s">
        <v>12</v>
      </c>
    </row>
    <row r="7" customFormat="false" ht="15" hidden="false" customHeight="false" outlineLevel="0" collapsed="false">
      <c r="B7" s="0" t="s">
        <v>8</v>
      </c>
      <c r="C7" s="0" t="s">
        <v>27</v>
      </c>
    </row>
    <row r="8" customFormat="false" ht="15" hidden="false" customHeight="false" outlineLevel="0" collapsed="false">
      <c r="D8" s="0" t="s">
        <v>28</v>
      </c>
      <c r="E8" s="0" t="s">
        <v>29</v>
      </c>
    </row>
    <row r="9" customFormat="false" ht="15" hidden="false" customHeight="false" outlineLevel="0" collapsed="false">
      <c r="B9" s="0" t="n">
        <v>1</v>
      </c>
      <c r="C9" s="0" t="n">
        <f aca="false">1/B9</f>
        <v>1</v>
      </c>
      <c r="D9" s="4" t="n">
        <v>1</v>
      </c>
      <c r="E9" s="4" t="n">
        <f aca="false">D9*C9</f>
        <v>1</v>
      </c>
      <c r="F9" s="3" t="n">
        <f aca="false">D9*C9*$F$5</f>
        <v>0.166666666666667</v>
      </c>
    </row>
    <row r="10" customFormat="false" ht="15" hidden="false" customHeight="false" outlineLevel="0" collapsed="false">
      <c r="B10" s="0" t="n">
        <f aca="false">B9+$C$5</f>
        <v>1.5</v>
      </c>
      <c r="C10" s="0" t="n">
        <f aca="false">1/B10</f>
        <v>0.666666666666667</v>
      </c>
      <c r="D10" s="0" t="n">
        <v>4</v>
      </c>
      <c r="E10" s="4" t="n">
        <f aca="false">D10*C10</f>
        <v>2.66666666666667</v>
      </c>
      <c r="F10" s="3" t="n">
        <f aca="false">D10*C10*$F$5</f>
        <v>0.444444444444444</v>
      </c>
    </row>
    <row r="11" customFormat="false" ht="15" hidden="false" customHeight="false" outlineLevel="0" collapsed="false">
      <c r="B11" s="0" t="n">
        <f aca="false">B10+$C$5</f>
        <v>2</v>
      </c>
      <c r="C11" s="0" t="n">
        <f aca="false">1/B11</f>
        <v>0.5</v>
      </c>
      <c r="D11" s="0" t="n">
        <v>2</v>
      </c>
      <c r="E11" s="4" t="n">
        <f aca="false">D11*C11</f>
        <v>1</v>
      </c>
      <c r="F11" s="3" t="n">
        <f aca="false">D11*C11*$F$5</f>
        <v>0.166666666666667</v>
      </c>
    </row>
    <row r="12" customFormat="false" ht="15" hidden="false" customHeight="false" outlineLevel="0" collapsed="false">
      <c r="B12" s="0" t="n">
        <f aca="false">B11+$C$5</f>
        <v>2.5</v>
      </c>
      <c r="C12" s="0" t="n">
        <f aca="false">1/B12</f>
        <v>0.4</v>
      </c>
      <c r="D12" s="0" t="n">
        <v>4</v>
      </c>
      <c r="E12" s="4" t="n">
        <f aca="false">D12*C12</f>
        <v>1.6</v>
      </c>
      <c r="F12" s="3" t="n">
        <f aca="false">D12*C12*$F$5</f>
        <v>0.266666666666667</v>
      </c>
    </row>
    <row r="13" customFormat="false" ht="15" hidden="false" customHeight="false" outlineLevel="0" collapsed="false">
      <c r="B13" s="0" t="n">
        <f aca="false">B12+$C$5</f>
        <v>3</v>
      </c>
      <c r="C13" s="0" t="n">
        <f aca="false">1/B13</f>
        <v>0.333333333333333</v>
      </c>
      <c r="D13" s="0" t="n">
        <v>2</v>
      </c>
      <c r="E13" s="4" t="n">
        <f aca="false">D13*C13</f>
        <v>0.666666666666667</v>
      </c>
      <c r="F13" s="3" t="n">
        <f aca="false">D13*C13*$F$5</f>
        <v>0.111111111111111</v>
      </c>
    </row>
    <row r="14" customFormat="false" ht="15" hidden="false" customHeight="false" outlineLevel="0" collapsed="false">
      <c r="B14" s="0" t="n">
        <f aca="false">B13+$C$5</f>
        <v>3.5</v>
      </c>
      <c r="C14" s="0" t="n">
        <f aca="false">1/B14</f>
        <v>0.285714285714286</v>
      </c>
      <c r="D14" s="0" t="n">
        <v>4</v>
      </c>
      <c r="E14" s="4" t="n">
        <f aca="false">D14*C14</f>
        <v>1.14285714285714</v>
      </c>
      <c r="F14" s="3" t="n">
        <f aca="false">D14*C14*$F$5</f>
        <v>0.19047619047619</v>
      </c>
    </row>
    <row r="15" customFormat="false" ht="15" hidden="false" customHeight="false" outlineLevel="0" collapsed="false">
      <c r="B15" s="0" t="n">
        <f aca="false">B14+$C$5</f>
        <v>4</v>
      </c>
      <c r="C15" s="0" t="n">
        <f aca="false">1/B15</f>
        <v>0.25</v>
      </c>
      <c r="D15" s="1" t="n">
        <v>1</v>
      </c>
      <c r="E15" s="4" t="n">
        <f aca="false">D15*C15</f>
        <v>0.25</v>
      </c>
      <c r="F15" s="3" t="n">
        <f aca="false">D15*C15*$F$5</f>
        <v>0.0416666666666667</v>
      </c>
    </row>
    <row r="16" customFormat="false" ht="15" hidden="false" customHeight="false" outlineLevel="0" collapsed="false">
      <c r="F16" s="0" t="s">
        <v>12</v>
      </c>
    </row>
    <row r="17" customFormat="false" ht="15" hidden="false" customHeight="false" outlineLevel="0" collapsed="false">
      <c r="D17" s="0" t="s">
        <v>13</v>
      </c>
      <c r="E17" s="4" t="n">
        <f aca="false">SUM(E9:E14)</f>
        <v>8.07619047619048</v>
      </c>
      <c r="F17" s="3" t="n">
        <f aca="false">SUM(F9:F15)</f>
        <v>1.38769841269841</v>
      </c>
    </row>
    <row r="18" customFormat="false" ht="15" hidden="false" customHeight="false" outlineLevel="0" collapsed="false">
      <c r="D18" s="0" t="s">
        <v>30</v>
      </c>
      <c r="F18" s="0" t="s">
        <v>12</v>
      </c>
    </row>
    <row r="19" customFormat="false" ht="15" hidden="false" customHeight="false" outlineLevel="0" collapsed="false">
      <c r="C19" s="0" t="s">
        <v>31</v>
      </c>
      <c r="D19" s="0" t="s">
        <v>32</v>
      </c>
    </row>
    <row r="20" customFormat="false" ht="15" hidden="false" customHeight="false" outlineLevel="0" collapsed="false">
      <c r="D20" s="0" t="n">
        <v>4</v>
      </c>
      <c r="E20" s="0" t="n">
        <f aca="false">LN(4)</f>
        <v>1.38629436111989</v>
      </c>
      <c r="H20" s="2" t="s">
        <v>33</v>
      </c>
      <c r="I20" s="2"/>
      <c r="J20" s="2"/>
      <c r="K20" s="7" t="s">
        <v>34</v>
      </c>
      <c r="L20" s="2"/>
    </row>
    <row r="21" customFormat="false" ht="15" hidden="false" customHeight="false" outlineLevel="0" collapsed="false">
      <c r="H21" s="2" t="n">
        <v>1</v>
      </c>
      <c r="I21" s="2" t="n">
        <f aca="false">F17</f>
        <v>1.38769841269841</v>
      </c>
      <c r="J21" s="2"/>
      <c r="K21" s="7" t="n">
        <v>0.001</v>
      </c>
      <c r="L21" s="2" t="n">
        <f aca="false">ABS(I22-I21)</f>
        <v>0.00128991378991383</v>
      </c>
    </row>
    <row r="22" customFormat="false" ht="15" hidden="false" customHeight="false" outlineLevel="0" collapsed="false">
      <c r="F22" s="0" t="s">
        <v>12</v>
      </c>
      <c r="H22" s="2" t="n">
        <v>2</v>
      </c>
      <c r="I22" s="2" t="n">
        <f aca="false">F45</f>
        <v>1.3864084989085</v>
      </c>
      <c r="J22" s="2"/>
      <c r="K22" s="2"/>
      <c r="L22" s="2"/>
    </row>
    <row r="23" customFormat="false" ht="15" hidden="false" customHeight="false" outlineLevel="0" collapsed="false">
      <c r="B23" s="0" t="s">
        <v>1</v>
      </c>
      <c r="C23" s="0" t="n">
        <v>1</v>
      </c>
      <c r="H23" s="0" t="n">
        <v>3</v>
      </c>
    </row>
    <row r="24" customFormat="false" ht="15" hidden="false" customHeight="false" outlineLevel="0" collapsed="false">
      <c r="B24" s="4" t="s">
        <v>3</v>
      </c>
      <c r="C24" s="4" t="n">
        <v>4</v>
      </c>
    </row>
    <row r="25" customFormat="false" ht="15" hidden="false" customHeight="false" outlineLevel="0" collapsed="false">
      <c r="B25" s="4" t="s">
        <v>4</v>
      </c>
      <c r="C25" s="4" t="n">
        <v>12</v>
      </c>
      <c r="F25" s="3" t="s">
        <v>12</v>
      </c>
    </row>
    <row r="27" customFormat="false" ht="15" hidden="false" customHeight="false" outlineLevel="0" collapsed="false">
      <c r="B27" s="0" t="s">
        <v>20</v>
      </c>
      <c r="C27" s="0" t="n">
        <f aca="false">(C24-C23)/C25</f>
        <v>0.25</v>
      </c>
      <c r="E27" s="0" t="s">
        <v>21</v>
      </c>
      <c r="F27" s="0" t="n">
        <f aca="false">(C24-C23)/(3*C25)</f>
        <v>0.0833333333333333</v>
      </c>
    </row>
    <row r="28" customFormat="false" ht="15" hidden="false" customHeight="false" outlineLevel="0" collapsed="false">
      <c r="E28" s="0" t="s">
        <v>12</v>
      </c>
      <c r="F28" s="0" t="s">
        <v>12</v>
      </c>
    </row>
    <row r="29" customFormat="false" ht="15" hidden="false" customHeight="false" outlineLevel="0" collapsed="false">
      <c r="B29" s="0" t="s">
        <v>8</v>
      </c>
      <c r="C29" s="0" t="s">
        <v>27</v>
      </c>
    </row>
    <row r="31" customFormat="false" ht="15" hidden="false" customHeight="false" outlineLevel="0" collapsed="false">
      <c r="A31" s="0" t="s">
        <v>35</v>
      </c>
      <c r="B31" s="0" t="n">
        <v>1</v>
      </c>
      <c r="C31" s="0" t="n">
        <f aca="false">1/B31</f>
        <v>1</v>
      </c>
      <c r="D31" s="4" t="n">
        <v>1</v>
      </c>
      <c r="E31" s="4" t="n">
        <f aca="false">D31*C31</f>
        <v>1</v>
      </c>
      <c r="F31" s="3" t="n">
        <f aca="false">D31*C31*$F$27</f>
        <v>0.0833333333333333</v>
      </c>
    </row>
    <row r="32" customFormat="false" ht="15" hidden="false" customHeight="false" outlineLevel="0" collapsed="false">
      <c r="A32" s="0" t="n">
        <v>1</v>
      </c>
      <c r="B32" s="0" t="n">
        <f aca="false">B31+$C$27</f>
        <v>1.25</v>
      </c>
      <c r="C32" s="0" t="n">
        <f aca="false">1/B32</f>
        <v>0.8</v>
      </c>
      <c r="D32" s="4" t="n">
        <v>4</v>
      </c>
      <c r="E32" s="4" t="n">
        <f aca="false">D32*C32</f>
        <v>3.2</v>
      </c>
      <c r="F32" s="3" t="n">
        <f aca="false">D32*C32*$F$27</f>
        <v>0.266666666666667</v>
      </c>
    </row>
    <row r="33" customFormat="false" ht="15" hidden="false" customHeight="false" outlineLevel="0" collapsed="false">
      <c r="A33" s="0" t="n">
        <f aca="false">A32+1</f>
        <v>2</v>
      </c>
      <c r="B33" s="0" t="n">
        <f aca="false">B32+$C$27</f>
        <v>1.5</v>
      </c>
      <c r="C33" s="0" t="n">
        <f aca="false">1/B33</f>
        <v>0.666666666666667</v>
      </c>
      <c r="D33" s="4" t="n">
        <v>2</v>
      </c>
      <c r="E33" s="4" t="n">
        <f aca="false">D33*C33</f>
        <v>1.33333333333333</v>
      </c>
      <c r="F33" s="3" t="n">
        <f aca="false">D33*C33*$F$27</f>
        <v>0.111111111111111</v>
      </c>
    </row>
    <row r="34" customFormat="false" ht="15" hidden="false" customHeight="false" outlineLevel="0" collapsed="false">
      <c r="A34" s="0" t="n">
        <f aca="false">A33+1</f>
        <v>3</v>
      </c>
      <c r="B34" s="0" t="n">
        <f aca="false">B33+$C$27</f>
        <v>1.75</v>
      </c>
      <c r="C34" s="0" t="n">
        <f aca="false">1/B34</f>
        <v>0.571428571428571</v>
      </c>
      <c r="D34" s="4" t="n">
        <v>4</v>
      </c>
      <c r="E34" s="4" t="n">
        <f aca="false">D34*C34</f>
        <v>2.28571428571429</v>
      </c>
      <c r="F34" s="3" t="n">
        <f aca="false">D34*C34*$F$27</f>
        <v>0.19047619047619</v>
      </c>
    </row>
    <row r="35" customFormat="false" ht="15" hidden="false" customHeight="false" outlineLevel="0" collapsed="false">
      <c r="A35" s="0" t="n">
        <f aca="false">A34+1</f>
        <v>4</v>
      </c>
      <c r="B35" s="0" t="n">
        <f aca="false">B34+$C$27</f>
        <v>2</v>
      </c>
      <c r="C35" s="0" t="n">
        <f aca="false">1/B35</f>
        <v>0.5</v>
      </c>
      <c r="D35" s="4" t="n">
        <v>2</v>
      </c>
      <c r="E35" s="4" t="n">
        <f aca="false">D35*C35</f>
        <v>1</v>
      </c>
      <c r="F35" s="3" t="n">
        <f aca="false">D35*C35*$F$27</f>
        <v>0.0833333333333333</v>
      </c>
    </row>
    <row r="36" customFormat="false" ht="15" hidden="false" customHeight="false" outlineLevel="0" collapsed="false">
      <c r="A36" s="0" t="n">
        <f aca="false">A35+1</f>
        <v>5</v>
      </c>
      <c r="B36" s="0" t="n">
        <f aca="false">B35+$C$27</f>
        <v>2.25</v>
      </c>
      <c r="C36" s="0" t="n">
        <f aca="false">1/B36</f>
        <v>0.444444444444444</v>
      </c>
      <c r="D36" s="4" t="n">
        <v>4</v>
      </c>
      <c r="E36" s="4" t="n">
        <f aca="false">D36*C36</f>
        <v>1.77777777777778</v>
      </c>
      <c r="F36" s="3" t="n">
        <f aca="false">D36*C36*$F$27</f>
        <v>0.148148148148148</v>
      </c>
    </row>
    <row r="37" customFormat="false" ht="15" hidden="false" customHeight="false" outlineLevel="0" collapsed="false">
      <c r="A37" s="0" t="n">
        <f aca="false">A36+1</f>
        <v>6</v>
      </c>
      <c r="B37" s="0" t="n">
        <f aca="false">B36+$C$27</f>
        <v>2.5</v>
      </c>
      <c r="C37" s="0" t="n">
        <f aca="false">1/B37</f>
        <v>0.4</v>
      </c>
      <c r="D37" s="4" t="n">
        <v>2</v>
      </c>
      <c r="E37" s="4" t="n">
        <f aca="false">D37*C37</f>
        <v>0.8</v>
      </c>
      <c r="F37" s="3" t="n">
        <f aca="false">D37*C37*$F$27</f>
        <v>0.0666666666666667</v>
      </c>
    </row>
    <row r="38" customFormat="false" ht="15" hidden="false" customHeight="false" outlineLevel="0" collapsed="false">
      <c r="A38" s="0" t="n">
        <f aca="false">A37+1</f>
        <v>7</v>
      </c>
      <c r="B38" s="0" t="n">
        <f aca="false">B37+$C$27</f>
        <v>2.75</v>
      </c>
      <c r="C38" s="0" t="n">
        <f aca="false">1/B38</f>
        <v>0.363636363636364</v>
      </c>
      <c r="D38" s="0" t="n">
        <v>4</v>
      </c>
      <c r="E38" s="4" t="n">
        <f aca="false">D38*C38</f>
        <v>1.45454545454545</v>
      </c>
      <c r="F38" s="3" t="n">
        <f aca="false">D38*C38*$F$27</f>
        <v>0.121212121212121</v>
      </c>
    </row>
    <row r="39" customFormat="false" ht="15" hidden="false" customHeight="false" outlineLevel="0" collapsed="false">
      <c r="A39" s="0" t="n">
        <f aca="false">A38+1</f>
        <v>8</v>
      </c>
      <c r="B39" s="0" t="n">
        <f aca="false">B38+$C$27</f>
        <v>3</v>
      </c>
      <c r="C39" s="0" t="n">
        <f aca="false">1/B39</f>
        <v>0.333333333333333</v>
      </c>
      <c r="D39" s="0" t="n">
        <v>2</v>
      </c>
      <c r="E39" s="4" t="n">
        <f aca="false">D39*C39</f>
        <v>0.666666666666667</v>
      </c>
      <c r="F39" s="3" t="n">
        <f aca="false">D39*C39*$F$27</f>
        <v>0.0555555555555556</v>
      </c>
    </row>
    <row r="40" customFormat="false" ht="15" hidden="false" customHeight="false" outlineLevel="0" collapsed="false">
      <c r="A40" s="0" t="n">
        <f aca="false">A39+1</f>
        <v>9</v>
      </c>
      <c r="B40" s="0" t="n">
        <f aca="false">B39+$C$27</f>
        <v>3.25</v>
      </c>
      <c r="C40" s="0" t="n">
        <f aca="false">1/B40</f>
        <v>0.307692307692308</v>
      </c>
      <c r="D40" s="0" t="n">
        <v>4</v>
      </c>
      <c r="E40" s="4" t="n">
        <f aca="false">D40*C40</f>
        <v>1.23076923076923</v>
      </c>
      <c r="F40" s="3" t="n">
        <f aca="false">D40*C40*$F$27</f>
        <v>0.102564102564103</v>
      </c>
    </row>
    <row r="41" customFormat="false" ht="15" hidden="false" customHeight="false" outlineLevel="0" collapsed="false">
      <c r="A41" s="0" t="n">
        <f aca="false">A40+1</f>
        <v>10</v>
      </c>
      <c r="B41" s="0" t="n">
        <f aca="false">B40+$C$27</f>
        <v>3.5</v>
      </c>
      <c r="C41" s="0" t="n">
        <f aca="false">1/B41</f>
        <v>0.285714285714286</v>
      </c>
      <c r="D41" s="0" t="n">
        <v>2</v>
      </c>
      <c r="E41" s="4" t="n">
        <f aca="false">D41*C41</f>
        <v>0.571428571428571</v>
      </c>
      <c r="F41" s="3" t="n">
        <f aca="false">D41*C41*$F$27</f>
        <v>0.0476190476190476</v>
      </c>
    </row>
    <row r="42" customFormat="false" ht="15" hidden="false" customHeight="false" outlineLevel="0" collapsed="false">
      <c r="A42" s="0" t="n">
        <f aca="false">A41+1</f>
        <v>11</v>
      </c>
      <c r="B42" s="0" t="n">
        <f aca="false">B41+$C$27</f>
        <v>3.75</v>
      </c>
      <c r="C42" s="0" t="n">
        <f aca="false">1/B42</f>
        <v>0.266666666666667</v>
      </c>
      <c r="D42" s="0" t="n">
        <v>4</v>
      </c>
      <c r="E42" s="4" t="n">
        <f aca="false">D42*C42</f>
        <v>1.06666666666667</v>
      </c>
      <c r="F42" s="3" t="n">
        <f aca="false">D42*C42*$F$27</f>
        <v>0.0888888888888889</v>
      </c>
    </row>
    <row r="43" customFormat="false" ht="15" hidden="false" customHeight="false" outlineLevel="0" collapsed="false">
      <c r="A43" s="0" t="n">
        <f aca="false">A42+1</f>
        <v>12</v>
      </c>
      <c r="B43" s="0" t="n">
        <f aca="false">B42+$C$27</f>
        <v>4</v>
      </c>
      <c r="C43" s="0" t="n">
        <f aca="false">1/B43</f>
        <v>0.25</v>
      </c>
      <c r="D43" s="1" t="n">
        <v>1</v>
      </c>
      <c r="E43" s="4" t="n">
        <f aca="false">D43*C43</f>
        <v>0.25</v>
      </c>
      <c r="F43" s="3" t="n">
        <f aca="false">D43*C43*$F$27</f>
        <v>0.0208333333333333</v>
      </c>
    </row>
    <row r="44" customFormat="false" ht="15" hidden="false" customHeight="false" outlineLevel="0" collapsed="false">
      <c r="F44" s="0" t="s">
        <v>12</v>
      </c>
    </row>
    <row r="45" customFormat="false" ht="15" hidden="false" customHeight="false" outlineLevel="0" collapsed="false">
      <c r="D45" s="0" t="s">
        <v>13</v>
      </c>
      <c r="E45" s="4" t="n">
        <f aca="false">SUM(E31:E42)</f>
        <v>16.386901986902</v>
      </c>
      <c r="F45" s="3" t="n">
        <f aca="false">SUM(F31:F43)</f>
        <v>1.3864084989085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8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C31" activeCellId="0" sqref="C31"/>
    </sheetView>
  </sheetViews>
  <sheetFormatPr defaultColWidth="10.55078125" defaultRowHeight="15" zeroHeight="false" outlineLevelRow="0" outlineLevelCol="0"/>
  <cols>
    <col collapsed="false" customWidth="true" hidden="false" outlineLevel="0" max="2" min="2" style="0" width="9.16"/>
    <col collapsed="false" customWidth="true" hidden="false" outlineLevel="0" max="4" min="4" style="0" width="8.5"/>
    <col collapsed="false" customWidth="true" hidden="false" outlineLevel="0" max="5" min="5" style="0" width="18.5"/>
    <col collapsed="false" customWidth="true" hidden="false" outlineLevel="0" max="6" min="6" style="0" width="16.66"/>
    <col collapsed="false" customWidth="true" hidden="false" outlineLevel="0" max="8" min="8" style="0" width="23.83"/>
    <col collapsed="false" customWidth="true" hidden="false" outlineLevel="0" max="9" min="9" style="0" width="19.83"/>
  </cols>
  <sheetData>
    <row r="1" customFormat="false" ht="15" hidden="false" customHeight="false" outlineLevel="0" collapsed="false">
      <c r="A1" s="0" t="s">
        <v>18</v>
      </c>
      <c r="B1" s="8" t="s">
        <v>1</v>
      </c>
      <c r="C1" s="8" t="n">
        <v>0</v>
      </c>
    </row>
    <row r="2" customFormat="false" ht="15" hidden="false" customHeight="false" outlineLevel="0" collapsed="false">
      <c r="A2" s="0" t="s">
        <v>19</v>
      </c>
      <c r="B2" s="8" t="s">
        <v>8</v>
      </c>
      <c r="C2" s="8" t="n">
        <v>1.1</v>
      </c>
      <c r="D2" s="4"/>
      <c r="E2" s="4"/>
      <c r="F2" s="4"/>
    </row>
    <row r="3" customFormat="false" ht="15" hidden="false" customHeight="false" outlineLevel="0" collapsed="false">
      <c r="B3" s="8" t="s">
        <v>4</v>
      </c>
      <c r="C3" s="8" t="n">
        <v>10</v>
      </c>
      <c r="D3" s="4"/>
      <c r="E3" s="4"/>
      <c r="F3" s="4"/>
    </row>
    <row r="4" customFormat="false" ht="15" hidden="false" customHeight="false" outlineLevel="0" collapsed="false">
      <c r="B4" s="8" t="s">
        <v>36</v>
      </c>
      <c r="C4" s="8" t="n">
        <v>9</v>
      </c>
    </row>
    <row r="5" customFormat="false" ht="15" hidden="false" customHeight="false" outlineLevel="0" collapsed="false">
      <c r="B5" s="0" t="s">
        <v>20</v>
      </c>
      <c r="C5" s="0" t="n">
        <f aca="false">(C2-C1)/(C3)</f>
        <v>0.11</v>
      </c>
      <c r="D5" s="9" t="s">
        <v>21</v>
      </c>
      <c r="E5" s="3" t="n">
        <f aca="false">(C2-C1)/(3*C3)</f>
        <v>0.0366666666666667</v>
      </c>
    </row>
    <row r="6" customFormat="false" ht="15" hidden="false" customHeight="false" outlineLevel="0" collapsed="false">
      <c r="D6" s="0" t="n">
        <f aca="false">EXP(GAMMALN(5))</f>
        <v>24</v>
      </c>
    </row>
    <row r="7" customFormat="false" ht="15" hidden="false" customHeight="false" outlineLevel="0" collapsed="false">
      <c r="B7" s="0" t="s">
        <v>8</v>
      </c>
      <c r="C7" s="0" t="s">
        <v>37</v>
      </c>
    </row>
    <row r="8" customFormat="false" ht="15" hidden="false" customHeight="false" outlineLevel="0" collapsed="false">
      <c r="C8" s="1" t="s">
        <v>38</v>
      </c>
      <c r="D8" s="1" t="s">
        <v>39</v>
      </c>
      <c r="E8" s="1" t="s">
        <v>40</v>
      </c>
      <c r="F8" s="10" t="s">
        <v>41</v>
      </c>
      <c r="G8" s="1" t="s">
        <v>28</v>
      </c>
      <c r="H8" s="1" t="s">
        <v>42</v>
      </c>
    </row>
    <row r="9" customFormat="false" ht="15" hidden="false" customHeight="false" outlineLevel="0" collapsed="false">
      <c r="A9" s="0" t="n">
        <v>0</v>
      </c>
      <c r="B9" s="8" t="n">
        <v>0</v>
      </c>
      <c r="C9" s="1" t="n">
        <f aca="false">1+(B9^2/$C$4)</f>
        <v>1</v>
      </c>
      <c r="D9" s="1" t="n">
        <f aca="false">C9^((($C$4+1)/2)*-1)</f>
        <v>1</v>
      </c>
      <c r="E9" s="1" t="n">
        <f aca="false">EXP(GAMMALN(($C$4+1)/2))/( (($C$4*PI())^0.5)*EXP(GAMMALN(($C$4/2))) )</f>
        <v>0.388034908871669</v>
      </c>
      <c r="F9" s="10" t="n">
        <f aca="false">D9*E9</f>
        <v>0.388034908871669</v>
      </c>
      <c r="G9" s="4" t="n">
        <v>1</v>
      </c>
      <c r="H9" s="3" t="n">
        <f aca="false">F9*G9*$E$5</f>
        <v>0.0142279466586279</v>
      </c>
    </row>
    <row r="10" customFormat="false" ht="15" hidden="false" customHeight="false" outlineLevel="0" collapsed="false">
      <c r="A10" s="0" t="n">
        <f aca="false">A9+1</f>
        <v>1</v>
      </c>
      <c r="B10" s="0" t="n">
        <f aca="false">B9+$C$5</f>
        <v>0.11</v>
      </c>
      <c r="C10" s="1" t="n">
        <f aca="false">1+(B10^2/$C$4)</f>
        <v>1.00134444444444</v>
      </c>
      <c r="D10" s="1" t="n">
        <f aca="false">C10^((($C$4+1)/2)*-1)</f>
        <v>0.993304805914522</v>
      </c>
      <c r="E10" s="1" t="n">
        <f aca="false">EXP(GAMMALN(($C$4+1)/2))/( (($C$4*PI())^0.5)*EXP(GAMMALN(($C$4/2))) )</f>
        <v>0.388034908871669</v>
      </c>
      <c r="F10" s="10" t="n">
        <f aca="false">D10*E10</f>
        <v>0.385436939844832</v>
      </c>
      <c r="G10" s="0" t="n">
        <v>4</v>
      </c>
      <c r="H10" s="3" t="n">
        <f aca="false">F10*G10*$E$5</f>
        <v>0.056530751177242</v>
      </c>
    </row>
    <row r="11" customFormat="false" ht="15" hidden="false" customHeight="false" outlineLevel="0" collapsed="false">
      <c r="A11" s="0" t="n">
        <f aca="false">A10+1</f>
        <v>2</v>
      </c>
      <c r="B11" s="0" t="n">
        <f aca="false">B10+$C$5</f>
        <v>0.22</v>
      </c>
      <c r="C11" s="1" t="n">
        <f aca="false">1+(B11^2/$C$4)</f>
        <v>1.00537777777778</v>
      </c>
      <c r="D11" s="1" t="n">
        <f aca="false">C11^((($C$4+1)/2)*-1)</f>
        <v>0.973539533024846</v>
      </c>
      <c r="E11" s="1" t="n">
        <f aca="false">EXP(GAMMALN(($C$4+1)/2))/( (($C$4*PI())^0.5)*EXP(GAMMALN(($C$4/2))) )</f>
        <v>0.388034908871669</v>
      </c>
      <c r="F11" s="10" t="n">
        <f aca="false">D11*E11</f>
        <v>0.377767323980263</v>
      </c>
      <c r="G11" s="0" t="n">
        <v>2</v>
      </c>
      <c r="H11" s="3" t="n">
        <f aca="false">F11*G11*$E$5</f>
        <v>0.027702937091886</v>
      </c>
    </row>
    <row r="12" customFormat="false" ht="15" hidden="false" customHeight="false" outlineLevel="0" collapsed="false">
      <c r="A12" s="0" t="n">
        <f aca="false">A11+1</f>
        <v>3</v>
      </c>
      <c r="B12" s="0" t="n">
        <f aca="false">B11+$C$5</f>
        <v>0.33</v>
      </c>
      <c r="C12" s="1" t="n">
        <f aca="false">1+(B12^2/$C$4)</f>
        <v>1.0121</v>
      </c>
      <c r="D12" s="1" t="n">
        <f aca="false">C12^((($C$4+1)/2)*-1)</f>
        <v>0.941635613842774</v>
      </c>
      <c r="E12" s="1" t="n">
        <f aca="false">EXP(GAMMALN(($C$4+1)/2))/( (($C$4*PI())^0.5)*EXP(GAMMALN(($C$4/2))) )</f>
        <v>0.388034908871669</v>
      </c>
      <c r="F12" s="10" t="n">
        <f aca="false">D12*E12</f>
        <v>0.365387489607799</v>
      </c>
      <c r="G12" s="0" t="n">
        <v>4</v>
      </c>
      <c r="H12" s="3" t="n">
        <f aca="false">F12*G12*$E$5</f>
        <v>0.0535901651424771</v>
      </c>
    </row>
    <row r="13" customFormat="false" ht="15" hidden="false" customHeight="false" outlineLevel="0" collapsed="false">
      <c r="A13" s="0" t="n">
        <f aca="false">A12+1</f>
        <v>4</v>
      </c>
      <c r="B13" s="0" t="n">
        <f aca="false">B12+$C$5</f>
        <v>0.44</v>
      </c>
      <c r="C13" s="1" t="n">
        <f aca="false">1+(B13^2/$C$4)</f>
        <v>1.02151111111111</v>
      </c>
      <c r="D13" s="1" t="n">
        <f aca="false">C13^((($C$4+1)/2)*-1)</f>
        <v>0.899051408247329</v>
      </c>
      <c r="E13" s="1" t="n">
        <f aca="false">EXP(GAMMALN(($C$4+1)/2))/( (($C$4*PI())^0.5)*EXP(GAMMALN(($C$4/2))) )</f>
        <v>0.388034908871669</v>
      </c>
      <c r="F13" s="10" t="n">
        <f aca="false">D13*E13</f>
        <v>0.348863331270198</v>
      </c>
      <c r="G13" s="0" t="n">
        <v>2</v>
      </c>
      <c r="H13" s="3" t="n">
        <f aca="false">F13*G13*$E$5</f>
        <v>0.0255833109598145</v>
      </c>
    </row>
    <row r="14" customFormat="false" ht="15" hidden="false" customHeight="false" outlineLevel="0" collapsed="false">
      <c r="A14" s="0" t="n">
        <f aca="false">A13+1</f>
        <v>5</v>
      </c>
      <c r="B14" s="0" t="n">
        <f aca="false">B13+$C$5</f>
        <v>0.55</v>
      </c>
      <c r="C14" s="1" t="n">
        <f aca="false">1+(B14^2/$C$4)</f>
        <v>1.03361111111111</v>
      </c>
      <c r="D14" s="1" t="n">
        <f aca="false">C14^((($C$4+1)/2)*-1)</f>
        <v>0.847645291085133</v>
      </c>
      <c r="E14" s="1" t="n">
        <f aca="false">EXP(GAMMALN(($C$4+1)/2))/( (($C$4*PI())^0.5)*EXP(GAMMALN(($C$4/2))) )</f>
        <v>0.388034908871669</v>
      </c>
      <c r="F14" s="10" t="n">
        <f aca="false">D14*E14</f>
        <v>0.328915963281718</v>
      </c>
      <c r="G14" s="0" t="n">
        <v>4</v>
      </c>
      <c r="H14" s="3" t="n">
        <f aca="false">F14*G14*$E$5</f>
        <v>0.0482410079479854</v>
      </c>
    </row>
    <row r="15" customFormat="false" ht="15" hidden="false" customHeight="false" outlineLevel="0" collapsed="false">
      <c r="A15" s="0" t="n">
        <f aca="false">A14+1</f>
        <v>6</v>
      </c>
      <c r="B15" s="0" t="n">
        <f aca="false">B14+$C$5</f>
        <v>0.66</v>
      </c>
      <c r="C15" s="1" t="n">
        <f aca="false">1+(B15^2/$C$4)</f>
        <v>1.0484</v>
      </c>
      <c r="D15" s="1" t="n">
        <f aca="false">C15^((($C$4+1)/2)*-1)</f>
        <v>0.789523277132849</v>
      </c>
      <c r="E15" s="1" t="n">
        <f aca="false">EXP(GAMMALN(($C$4+1)/2))/( (($C$4*PI())^0.5)*EXP(GAMMALN(($C$4/2))) )</f>
        <v>0.388034908871669</v>
      </c>
      <c r="F15" s="10" t="n">
        <f aca="false">D15*E15</f>
        <v>0.306362592894306</v>
      </c>
      <c r="G15" s="0" t="n">
        <v>2</v>
      </c>
      <c r="H15" s="3" t="n">
        <f aca="false">F15*G15*$E$5</f>
        <v>0.0224665901455825</v>
      </c>
    </row>
    <row r="16" customFormat="false" ht="15" hidden="false" customHeight="false" outlineLevel="0" collapsed="false">
      <c r="A16" s="0" t="n">
        <f aca="false">A15+1</f>
        <v>7</v>
      </c>
      <c r="B16" s="0" t="n">
        <f aca="false">B15+$C$5</f>
        <v>0.77</v>
      </c>
      <c r="C16" s="1" t="n">
        <f aca="false">1+(B16^2/$C$4)</f>
        <v>1.06587777777778</v>
      </c>
      <c r="D16" s="1" t="n">
        <f aca="false">C16^((($C$4+1)/2)*-1)</f>
        <v>0.72688040420589</v>
      </c>
      <c r="E16" s="1" t="n">
        <f aca="false">EXP(GAMMALN(($C$4+1)/2))/( (($C$4*PI())^0.5)*EXP(GAMMALN(($C$4/2))) )</f>
        <v>0.388034908871669</v>
      </c>
      <c r="F16" s="10" t="n">
        <f aca="false">D16*E16</f>
        <v>0.282054971406634</v>
      </c>
      <c r="G16" s="0" t="n">
        <v>4</v>
      </c>
      <c r="H16" s="3" t="n">
        <f aca="false">F16*G16*$E$5</f>
        <v>0.041368062472973</v>
      </c>
    </row>
    <row r="17" customFormat="false" ht="15" hidden="false" customHeight="false" outlineLevel="0" collapsed="false">
      <c r="A17" s="0" t="n">
        <f aca="false">A16+1</f>
        <v>8</v>
      </c>
      <c r="B17" s="0" t="n">
        <f aca="false">B16+$C$5</f>
        <v>0.88</v>
      </c>
      <c r="C17" s="1" t="n">
        <f aca="false">1+(B17^2/$C$4)</f>
        <v>1.08604444444444</v>
      </c>
      <c r="D17" s="1" t="n">
        <f aca="false">C17^((($C$4+1)/2)*-1)</f>
        <v>0.66185371096141</v>
      </c>
      <c r="E17" s="1" t="n">
        <f aca="false">EXP(GAMMALN(($C$4+1)/2))/( (($C$4*PI())^0.5)*EXP(GAMMALN(($C$4/2))) )</f>
        <v>0.388034908871669</v>
      </c>
      <c r="F17" s="10" t="n">
        <f aca="false">D17*E17</f>
        <v>0.256822344419287</v>
      </c>
      <c r="G17" s="0" t="n">
        <v>2</v>
      </c>
      <c r="H17" s="3" t="n">
        <f aca="false">F17*G17*$E$5</f>
        <v>0.0188336385907477</v>
      </c>
    </row>
    <row r="18" customFormat="false" ht="15" hidden="false" customHeight="false" outlineLevel="0" collapsed="false">
      <c r="A18" s="0" t="n">
        <f aca="false">A17+1</f>
        <v>9</v>
      </c>
      <c r="B18" s="0" t="n">
        <f aca="false">B17+$C$5</f>
        <v>0.99</v>
      </c>
      <c r="C18" s="1" t="n">
        <f aca="false">1+(B18^2/$C$4)</f>
        <v>1.1089</v>
      </c>
      <c r="D18" s="1" t="n">
        <f aca="false">C18^((($C$4+1)/2)*-1)</f>
        <v>0.596400615011807</v>
      </c>
      <c r="E18" s="1" t="n">
        <f aca="false">EXP(GAMMALN(($C$4+1)/2))/( (($C$4*PI())^0.5)*EXP(GAMMALN(($C$4/2))) )</f>
        <v>0.388034908871669</v>
      </c>
      <c r="F18" s="10" t="n">
        <f aca="false">D18*E18</f>
        <v>0.231424258297114</v>
      </c>
      <c r="G18" s="0" t="n">
        <v>4</v>
      </c>
      <c r="H18" s="3" t="n">
        <f aca="false">F18*G18*$E$5</f>
        <v>0.0339422245502433</v>
      </c>
    </row>
    <row r="19" customFormat="false" ht="15" hidden="false" customHeight="false" outlineLevel="0" collapsed="false">
      <c r="A19" s="0" t="n">
        <f aca="false">A18+1</f>
        <v>10</v>
      </c>
      <c r="B19" s="8" t="n">
        <f aca="false">B18+$C$5</f>
        <v>1.1</v>
      </c>
      <c r="C19" s="1" t="n">
        <f aca="false">1+(B19^2/$C$4)</f>
        <v>1.13444444444444</v>
      </c>
      <c r="D19" s="1" t="n">
        <f aca="false">C19^((($C$4+1)/2)*-1)</f>
        <v>0.532210988040641</v>
      </c>
      <c r="E19" s="1" t="n">
        <f aca="false">EXP(GAMMALN(($C$4+1)/2))/( (($C$4*PI())^0.5)*EXP(GAMMALN(($C$4/2))) )</f>
        <v>0.388034908871669</v>
      </c>
      <c r="F19" s="10" t="n">
        <f aca="false">D19*E19</f>
        <v>0.206516442244851</v>
      </c>
      <c r="G19" s="4" t="n">
        <v>1</v>
      </c>
      <c r="H19" s="3" t="n">
        <f aca="false">F19*G19*$E$5</f>
        <v>0.00757226954897787</v>
      </c>
    </row>
    <row r="21" customFormat="false" ht="15" hidden="false" customHeight="false" outlineLevel="0" collapsed="false">
      <c r="C21" s="11" t="n">
        <f aca="false">SUM(C9:C19)</f>
        <v>11.5176111111111</v>
      </c>
      <c r="D21" s="1" t="n">
        <f aca="false">SUM(D9:D19)</f>
        <v>8.9620456474672</v>
      </c>
      <c r="G21" s="3" t="s">
        <v>13</v>
      </c>
      <c r="H21" s="3" t="n">
        <f aca="false">SUM(H9:H19)</f>
        <v>0.350058904286557</v>
      </c>
    </row>
    <row r="22" customFormat="false" ht="15" hidden="false" customHeight="false" outlineLevel="0" collapsed="false">
      <c r="G22" s="0" t="s">
        <v>12</v>
      </c>
      <c r="H22" s="0" t="s">
        <v>12</v>
      </c>
    </row>
    <row r="24" customFormat="false" ht="15" hidden="false" customHeight="false" outlineLevel="0" collapsed="false">
      <c r="G24" s="0" t="s">
        <v>34</v>
      </c>
      <c r="H24" s="0" t="n">
        <v>1E-005</v>
      </c>
    </row>
    <row r="25" customFormat="false" ht="15" hidden="false" customHeight="false" outlineLevel="0" collapsed="false">
      <c r="G25" s="0" t="s">
        <v>43</v>
      </c>
      <c r="H25" s="0" t="n">
        <f aca="false">H21</f>
        <v>0.350058904286557</v>
      </c>
      <c r="I25" s="12" t="n">
        <f aca="false">ABS(H26-H25)</f>
        <v>2.67389356212178E-007</v>
      </c>
    </row>
    <row r="26" customFormat="false" ht="15" hidden="false" customHeight="false" outlineLevel="0" collapsed="false">
      <c r="G26" s="0" t="s">
        <v>44</v>
      </c>
      <c r="H26" s="0" t="n">
        <f aca="false">H58</f>
        <v>0.350058636897201</v>
      </c>
    </row>
    <row r="27" customFormat="false" ht="15" hidden="false" customHeight="false" outlineLevel="0" collapsed="false">
      <c r="H27" s="0" t="s">
        <v>12</v>
      </c>
    </row>
    <row r="28" customFormat="false" ht="15" hidden="false" customHeight="false" outlineLevel="0" collapsed="false">
      <c r="B28" s="0" t="s">
        <v>1</v>
      </c>
      <c r="C28" s="0" t="n">
        <v>0</v>
      </c>
    </row>
    <row r="29" customFormat="false" ht="15" hidden="false" customHeight="false" outlineLevel="0" collapsed="false">
      <c r="B29" s="4" t="s">
        <v>8</v>
      </c>
      <c r="C29" s="4" t="n">
        <v>1.1</v>
      </c>
      <c r="D29" s="4"/>
      <c r="E29" s="4"/>
      <c r="F29" s="4"/>
    </row>
    <row r="30" customFormat="false" ht="15" hidden="false" customHeight="false" outlineLevel="0" collapsed="false">
      <c r="B30" s="4" t="s">
        <v>4</v>
      </c>
      <c r="C30" s="4" t="n">
        <v>20</v>
      </c>
      <c r="D30" s="4"/>
      <c r="E30" s="4"/>
      <c r="F30" s="4"/>
    </row>
    <row r="31" customFormat="false" ht="15" hidden="false" customHeight="false" outlineLevel="0" collapsed="false">
      <c r="B31" s="0" t="s">
        <v>36</v>
      </c>
      <c r="C31" s="0" t="n">
        <v>9</v>
      </c>
    </row>
    <row r="32" customFormat="false" ht="15" hidden="false" customHeight="false" outlineLevel="0" collapsed="false">
      <c r="B32" s="0" t="s">
        <v>20</v>
      </c>
      <c r="C32" s="0" t="n">
        <f aca="false">(C29-C28)/(C30)</f>
        <v>0.055</v>
      </c>
      <c r="D32" s="9" t="s">
        <v>21</v>
      </c>
      <c r="E32" s="3" t="n">
        <f aca="false">(C29-C28)/(3*C30)</f>
        <v>0.0183333333333333</v>
      </c>
    </row>
    <row r="33" customFormat="false" ht="15" hidden="false" customHeight="false" outlineLevel="0" collapsed="false">
      <c r="D33" s="0" t="n">
        <f aca="false">EXP(GAMMALN(5))</f>
        <v>24</v>
      </c>
    </row>
    <row r="34" customFormat="false" ht="15" hidden="false" customHeight="false" outlineLevel="0" collapsed="false">
      <c r="B34" s="0" t="s">
        <v>8</v>
      </c>
      <c r="C34" s="0" t="s">
        <v>37</v>
      </c>
    </row>
    <row r="35" customFormat="false" ht="15" hidden="false" customHeight="false" outlineLevel="0" collapsed="false">
      <c r="C35" s="1" t="s">
        <v>38</v>
      </c>
      <c r="D35" s="1" t="s">
        <v>39</v>
      </c>
      <c r="E35" s="1" t="s">
        <v>40</v>
      </c>
      <c r="F35" s="10" t="s">
        <v>41</v>
      </c>
    </row>
    <row r="36" customFormat="false" ht="15" hidden="false" customHeight="false" outlineLevel="0" collapsed="false">
      <c r="A36" s="0" t="n">
        <v>0</v>
      </c>
      <c r="B36" s="0" t="n">
        <v>0</v>
      </c>
      <c r="C36" s="1" t="n">
        <f aca="false">1+(B36^2/$C$31)</f>
        <v>1</v>
      </c>
      <c r="D36" s="1" t="n">
        <f aca="false">C36^((($C$31+1)/2)*-1)</f>
        <v>1</v>
      </c>
      <c r="E36" s="1" t="n">
        <f aca="false">EXP(GAMMALN(($C$31+1)/2))/( (($C$31*PI())^0.5)*EXP(GAMMALN(($C$31/2))) )</f>
        <v>0.388034908871669</v>
      </c>
      <c r="F36" s="10" t="n">
        <f aca="false">D36*E36</f>
        <v>0.388034908871669</v>
      </c>
      <c r="G36" s="4" t="n">
        <v>1</v>
      </c>
      <c r="H36" s="3" t="n">
        <f aca="false">F36*G36*$E$32</f>
        <v>0.00711397332931393</v>
      </c>
    </row>
    <row r="37" customFormat="false" ht="15" hidden="false" customHeight="false" outlineLevel="0" collapsed="false">
      <c r="A37" s="0" t="n">
        <f aca="false">A36+1</f>
        <v>1</v>
      </c>
      <c r="B37" s="0" t="n">
        <f aca="false">B36+$C$32</f>
        <v>0.055</v>
      </c>
      <c r="C37" s="1" t="n">
        <f aca="false">1+(B37^2/$C$31)</f>
        <v>1.00033611111111</v>
      </c>
      <c r="D37" s="1" t="n">
        <f aca="false">C37^((($C$31+1)/2)*-1)</f>
        <v>0.998321137676548</v>
      </c>
      <c r="E37" s="1" t="n">
        <f aca="false">EXP(GAMMALN(($C$31+1)/2))/( (($C$31*PI())^0.5)*EXP(GAMMALN(($C$31/2))) )</f>
        <v>0.388034908871669</v>
      </c>
      <c r="F37" s="10" t="n">
        <f aca="false">D37*E37</f>
        <v>0.38738345168298</v>
      </c>
      <c r="G37" s="0" t="n">
        <v>4</v>
      </c>
      <c r="H37" s="3" t="n">
        <f aca="false">F37*G37*$E$32</f>
        <v>0.0284081197900852</v>
      </c>
    </row>
    <row r="38" customFormat="false" ht="15" hidden="false" customHeight="false" outlineLevel="0" collapsed="false">
      <c r="A38" s="0" t="n">
        <f aca="false">A37+1</f>
        <v>2</v>
      </c>
      <c r="B38" s="0" t="n">
        <f aca="false">B37+$C$32</f>
        <v>0.11</v>
      </c>
      <c r="C38" s="1" t="n">
        <f aca="false">1+(B38^2/$C$31)</f>
        <v>1.00134444444444</v>
      </c>
      <c r="D38" s="1" t="n">
        <f aca="false">C38^((($C$31+1)/2)*-1)</f>
        <v>0.993304805914522</v>
      </c>
      <c r="E38" s="1" t="n">
        <f aca="false">EXP(GAMMALN(($C$31+1)/2))/( (($C$31*PI())^0.5)*EXP(GAMMALN(($C$31/2))) )</f>
        <v>0.388034908871669</v>
      </c>
      <c r="F38" s="10" t="n">
        <f aca="false">D38*E38</f>
        <v>0.385436939844832</v>
      </c>
      <c r="G38" s="0" t="n">
        <v>2</v>
      </c>
      <c r="H38" s="3" t="n">
        <f aca="false">F38*G38*$E$32</f>
        <v>0.0141326877943105</v>
      </c>
    </row>
    <row r="39" customFormat="false" ht="15" hidden="false" customHeight="false" outlineLevel="0" collapsed="false">
      <c r="A39" s="0" t="n">
        <f aca="false">A38+1</f>
        <v>3</v>
      </c>
      <c r="B39" s="0" t="n">
        <f aca="false">B38+$C$32</f>
        <v>0.165</v>
      </c>
      <c r="C39" s="1" t="n">
        <f aca="false">1+(B39^2/$C$31)</f>
        <v>1.003025</v>
      </c>
      <c r="D39" s="1" t="n">
        <f aca="false">C39^((($C$31+1)/2)*-1)</f>
        <v>0.985011296382198</v>
      </c>
      <c r="E39" s="1" t="n">
        <f aca="false">EXP(GAMMALN(($C$31+1)/2))/( (($C$31*PI())^0.5)*EXP(GAMMALN(($C$31/2))) )</f>
        <v>0.388034908871669</v>
      </c>
      <c r="F39" s="10" t="n">
        <f aca="false">D39*E39</f>
        <v>0.382218768629231</v>
      </c>
      <c r="G39" s="0" t="n">
        <v>4</v>
      </c>
      <c r="H39" s="3" t="n">
        <f aca="false">F39*G39*$E$32</f>
        <v>0.0280293763661436</v>
      </c>
    </row>
    <row r="40" customFormat="false" ht="15" hidden="false" customHeight="false" outlineLevel="0" collapsed="false">
      <c r="A40" s="0" t="n">
        <f aca="false">A39+1</f>
        <v>4</v>
      </c>
      <c r="B40" s="0" t="n">
        <f aca="false">B39+$C$32</f>
        <v>0.22</v>
      </c>
      <c r="C40" s="1" t="n">
        <f aca="false">1+(B40^2/$C$31)</f>
        <v>1.00537777777778</v>
      </c>
      <c r="D40" s="1" t="n">
        <f aca="false">C40^((($C$31+1)/2)*-1)</f>
        <v>0.973539533024846</v>
      </c>
      <c r="E40" s="1" t="n">
        <f aca="false">EXP(GAMMALN(($C$31+1)/2))/( (($C$31*PI())^0.5)*EXP(GAMMALN(($C$31/2))) )</f>
        <v>0.388034908871669</v>
      </c>
      <c r="F40" s="10" t="n">
        <f aca="false">D40*E40</f>
        <v>0.377767323980263</v>
      </c>
      <c r="G40" s="0" t="n">
        <v>2</v>
      </c>
      <c r="H40" s="3" t="n">
        <f aca="false">F40*G40*$E$32</f>
        <v>0.013851468545943</v>
      </c>
    </row>
    <row r="41" customFormat="false" ht="15" hidden="false" customHeight="false" outlineLevel="0" collapsed="false">
      <c r="A41" s="0" t="n">
        <f aca="false">A40+1</f>
        <v>5</v>
      </c>
      <c r="B41" s="0" t="n">
        <f aca="false">B40+$C$32</f>
        <v>0.275</v>
      </c>
      <c r="C41" s="1" t="n">
        <f aca="false">1+(B41^2/$C$31)</f>
        <v>1.00840277777778</v>
      </c>
      <c r="D41" s="1" t="n">
        <f aca="false">C41^((($C$31+1)/2)*-1)</f>
        <v>0.959024789765985</v>
      </c>
      <c r="E41" s="1" t="n">
        <f aca="false">EXP(GAMMALN(($C$31+1)/2))/( (($C$31*PI())^0.5)*EXP(GAMMALN(($C$31/2))) )</f>
        <v>0.388034908871669</v>
      </c>
      <c r="F41" s="10" t="n">
        <f aca="false">D41*E41</f>
        <v>0.372135096902515</v>
      </c>
      <c r="G41" s="0" t="n">
        <v>4</v>
      </c>
      <c r="H41" s="3" t="n">
        <f aca="false">F41*G41*$E$32</f>
        <v>0.0272899071061844</v>
      </c>
    </row>
    <row r="42" customFormat="false" ht="15" hidden="false" customHeight="false" outlineLevel="0" collapsed="false">
      <c r="A42" s="0" t="n">
        <f aca="false">A41+1</f>
        <v>6</v>
      </c>
      <c r="B42" s="0" t="n">
        <f aca="false">B41+$C$32</f>
        <v>0.33</v>
      </c>
      <c r="C42" s="1" t="n">
        <f aca="false">1+(B42^2/$C$31)</f>
        <v>1.0121</v>
      </c>
      <c r="D42" s="1" t="n">
        <f aca="false">C42^((($C$31+1)/2)*-1)</f>
        <v>0.941635613842774</v>
      </c>
      <c r="E42" s="1" t="n">
        <f aca="false">EXP(GAMMALN(($C$31+1)/2))/( (($C$31*PI())^0.5)*EXP(GAMMALN(($C$31/2))) )</f>
        <v>0.388034908871669</v>
      </c>
      <c r="F42" s="10" t="n">
        <f aca="false">D42*E42</f>
        <v>0.365387489607799</v>
      </c>
      <c r="G42" s="0" t="n">
        <v>2</v>
      </c>
      <c r="H42" s="3" t="n">
        <f aca="false">F42*G42*$E$32</f>
        <v>0.0133975412856193</v>
      </c>
    </row>
    <row r="43" customFormat="false" ht="15" hidden="false" customHeight="false" outlineLevel="0" collapsed="false">
      <c r="A43" s="0" t="n">
        <f aca="false">A42+1</f>
        <v>7</v>
      </c>
      <c r="B43" s="0" t="n">
        <f aca="false">B42+$C$32</f>
        <v>0.385</v>
      </c>
      <c r="C43" s="1" t="n">
        <f aca="false">1+(B43^2/$C$31)</f>
        <v>1.01646944444444</v>
      </c>
      <c r="D43" s="1" t="n">
        <f aca="false">C43^((($C$31+1)/2)*-1)</f>
        <v>0.921570065748843</v>
      </c>
      <c r="E43" s="1" t="n">
        <f aca="false">EXP(GAMMALN(($C$31+1)/2))/( (($C$31*PI())^0.5)*EXP(GAMMALN(($C$31/2))) )</f>
        <v>0.388034908871669</v>
      </c>
      <c r="F43" s="10" t="n">
        <f aca="false">D43*E43</f>
        <v>0.35760135648171</v>
      </c>
      <c r="G43" s="0" t="n">
        <v>4</v>
      </c>
      <c r="H43" s="3" t="n">
        <f aca="false">F43*G43*$E$32</f>
        <v>0.0262240994753254</v>
      </c>
    </row>
    <row r="44" customFormat="false" ht="15" hidden="false" customHeight="false" outlineLevel="0" collapsed="false">
      <c r="A44" s="0" t="n">
        <f aca="false">A43+1</f>
        <v>8</v>
      </c>
      <c r="B44" s="0" t="n">
        <f aca="false">B43+$C$32</f>
        <v>0.44</v>
      </c>
      <c r="C44" s="1" t="n">
        <f aca="false">1+(B44^2/$C$31)</f>
        <v>1.02151111111111</v>
      </c>
      <c r="D44" s="1" t="n">
        <f aca="false">C44^((($C$31+1)/2)*-1)</f>
        <v>0.899051408247329</v>
      </c>
      <c r="E44" s="1" t="n">
        <f aca="false">EXP(GAMMALN(($C$31+1)/2))/( (($C$31*PI())^0.5)*EXP(GAMMALN(($C$31/2))) )</f>
        <v>0.388034908871669</v>
      </c>
      <c r="F44" s="10" t="n">
        <f aca="false">D44*E44</f>
        <v>0.348863331270198</v>
      </c>
      <c r="G44" s="0" t="n">
        <v>2</v>
      </c>
      <c r="H44" s="3" t="n">
        <f aca="false">F44*G44*$E$32</f>
        <v>0.0127916554799072</v>
      </c>
    </row>
    <row r="45" customFormat="false" ht="15" hidden="false" customHeight="false" outlineLevel="0" collapsed="false">
      <c r="A45" s="0" t="n">
        <f aca="false">A44+1</f>
        <v>9</v>
      </c>
      <c r="B45" s="0" t="n">
        <f aca="false">B44+$C$32</f>
        <v>0.495</v>
      </c>
      <c r="C45" s="1" t="n">
        <f aca="false">1+(B45^2/$C$31)</f>
        <v>1.027225</v>
      </c>
      <c r="D45" s="1" t="n">
        <f aca="false">C45^((($C$31+1)/2)*-1)</f>
        <v>0.874323391752299</v>
      </c>
      <c r="E45" s="1" t="n">
        <f aca="false">EXP(GAMMALN(($C$31+1)/2))/( (($C$31*PI())^0.5)*EXP(GAMMALN(($C$31/2))) )</f>
        <v>0.388034908871669</v>
      </c>
      <c r="F45" s="10" t="n">
        <f aca="false">D45*E45</f>
        <v>0.339267997642972</v>
      </c>
      <c r="G45" s="0" t="n">
        <v>4</v>
      </c>
      <c r="H45" s="3" t="n">
        <f aca="false">F45*G45*$E$32</f>
        <v>0.0248796531604846</v>
      </c>
    </row>
    <row r="46" customFormat="false" ht="15" hidden="false" customHeight="false" outlineLevel="0" collapsed="false">
      <c r="A46" s="0" t="n">
        <f aca="false">A45+1</f>
        <v>10</v>
      </c>
      <c r="B46" s="0" t="n">
        <f aca="false">B45+$C$32</f>
        <v>0.55</v>
      </c>
      <c r="C46" s="1" t="n">
        <f aca="false">1+(B46^2/$C$31)</f>
        <v>1.03361111111111</v>
      </c>
      <c r="D46" s="1" t="n">
        <f aca="false">C46^((($C$31+1)/2)*-1)</f>
        <v>0.847645291085133</v>
      </c>
      <c r="E46" s="1" t="n">
        <f aca="false">EXP(GAMMALN(($C$31+1)/2))/( (($C$31*PI())^0.5)*EXP(GAMMALN(($C$31/2))) )</f>
        <v>0.388034908871669</v>
      </c>
      <c r="F46" s="10" t="n">
        <f aca="false">D46*E46</f>
        <v>0.328915963281718</v>
      </c>
      <c r="G46" s="0" t="n">
        <v>2</v>
      </c>
      <c r="H46" s="3" t="n">
        <f aca="false">F46*G46*$E$32</f>
        <v>0.0120602519869963</v>
      </c>
    </row>
    <row r="47" customFormat="false" ht="15" hidden="false" customHeight="false" outlineLevel="0" collapsed="false">
      <c r="A47" s="0" t="n">
        <f aca="false">A46+1</f>
        <v>11</v>
      </c>
      <c r="B47" s="0" t="n">
        <f aca="false">B46+$C$32</f>
        <v>0.605</v>
      </c>
      <c r="C47" s="1" t="n">
        <f aca="false">1+(B47^2/$C$31)</f>
        <v>1.04066944444444</v>
      </c>
      <c r="D47" s="1" t="n">
        <f aca="false">C47^((($C$31+1)/2)*-1)</f>
        <v>0.819286849177871</v>
      </c>
      <c r="E47" s="1" t="n">
        <f aca="false">EXP(GAMMALN(($C$31+1)/2))/( (($C$31*PI())^0.5)*EXP(GAMMALN(($C$31/2))) )</f>
        <v>0.388034908871669</v>
      </c>
      <c r="F47" s="10" t="n">
        <f aca="false">D47*E47</f>
        <v>0.317911897860492</v>
      </c>
      <c r="G47" s="0" t="n">
        <v>4</v>
      </c>
      <c r="H47" s="3" t="n">
        <f aca="false">F47*G47*$E$32</f>
        <v>0.0233135391764361</v>
      </c>
    </row>
    <row r="48" customFormat="false" ht="15" hidden="false" customHeight="false" outlineLevel="0" collapsed="false">
      <c r="A48" s="0" t="n">
        <f aca="false">A47+1</f>
        <v>12</v>
      </c>
      <c r="B48" s="0" t="n">
        <f aca="false">B47+$C$32</f>
        <v>0.66</v>
      </c>
      <c r="C48" s="1" t="n">
        <f aca="false">1+(B48^2/$C$31)</f>
        <v>1.0484</v>
      </c>
      <c r="D48" s="1" t="n">
        <f aca="false">C48^((($C$31+1)/2)*-1)</f>
        <v>0.789523277132849</v>
      </c>
      <c r="E48" s="1" t="n">
        <f aca="false">EXP(GAMMALN(($C$31+1)/2))/( (($C$31*PI())^0.5)*EXP(GAMMALN(($C$31/2))) )</f>
        <v>0.388034908871669</v>
      </c>
      <c r="F48" s="10" t="n">
        <f aca="false">D48*E48</f>
        <v>0.306362592894306</v>
      </c>
      <c r="G48" s="0" t="n">
        <v>2</v>
      </c>
      <c r="H48" s="3" t="n">
        <f aca="false">F48*G48*$E$32</f>
        <v>0.0112332950727912</v>
      </c>
    </row>
    <row r="49" customFormat="false" ht="15" hidden="false" customHeight="false" outlineLevel="0" collapsed="false">
      <c r="A49" s="0" t="n">
        <f aca="false">A48+1</f>
        <v>13</v>
      </c>
      <c r="B49" s="0" t="n">
        <f aca="false">B48+$C$32</f>
        <v>0.715</v>
      </c>
      <c r="C49" s="1" t="n">
        <f aca="false">1+(B49^2/$C$31)</f>
        <v>1.05680277777778</v>
      </c>
      <c r="D49" s="1" t="n">
        <f aca="false">C49^((($C$31+1)/2)*-1)</f>
        <v>0.758630447943105</v>
      </c>
      <c r="E49" s="1" t="n">
        <f aca="false">EXP(GAMMALN(($C$31+1)/2))/( (($C$31*PI())^0.5)*EXP(GAMMALN(($C$31/2))) )</f>
        <v>0.388034908871669</v>
      </c>
      <c r="F49" s="10" t="n">
        <f aca="false">D49*E49</f>
        <v>0.294375096734876</v>
      </c>
      <c r="G49" s="0" t="n">
        <v>4</v>
      </c>
      <c r="H49" s="3" t="n">
        <f aca="false">F49*G49*$E$32</f>
        <v>0.0215875070938909</v>
      </c>
    </row>
    <row r="50" customFormat="false" ht="15" hidden="false" customHeight="false" outlineLevel="0" collapsed="false">
      <c r="A50" s="0" t="n">
        <f aca="false">A49+1</f>
        <v>14</v>
      </c>
      <c r="B50" s="0" t="n">
        <f aca="false">B49+$C$32</f>
        <v>0.77</v>
      </c>
      <c r="C50" s="1" t="n">
        <f aca="false">1+(B50^2/$C$31)</f>
        <v>1.06587777777778</v>
      </c>
      <c r="D50" s="1" t="n">
        <f aca="false">C50^((($C$31+1)/2)*-1)</f>
        <v>0.72688040420589</v>
      </c>
      <c r="E50" s="1" t="n">
        <f aca="false">EXP(GAMMALN(($C$31+1)/2))/( (($C$31*PI())^0.5)*EXP(GAMMALN(($C$31/2))) )</f>
        <v>0.388034908871669</v>
      </c>
      <c r="F50" s="10" t="n">
        <f aca="false">D50*E50</f>
        <v>0.282054971406634</v>
      </c>
      <c r="G50" s="0" t="n">
        <v>2</v>
      </c>
      <c r="H50" s="3" t="n">
        <f aca="false">F50*G50*$E$32</f>
        <v>0.0103420156182433</v>
      </c>
    </row>
    <row r="51" customFormat="false" ht="15" hidden="false" customHeight="false" outlineLevel="0" collapsed="false">
      <c r="A51" s="0" t="n">
        <f aca="false">A50+1</f>
        <v>15</v>
      </c>
      <c r="B51" s="0" t="n">
        <f aca="false">B50+$C$32</f>
        <v>0.825</v>
      </c>
      <c r="C51" s="1" t="n">
        <f aca="false">1+(B51^2/$C$31)</f>
        <v>1.075625</v>
      </c>
      <c r="D51" s="1" t="n">
        <f aca="false">C51^((($C$31+1)/2)*-1)</f>
        <v>0.694537279586318</v>
      </c>
      <c r="E51" s="1" t="n">
        <f aca="false">EXP(GAMMALN(($C$31+1)/2))/( (($C$31*PI())^0.5)*EXP(GAMMALN(($C$31/2))) )</f>
        <v>0.388034908871669</v>
      </c>
      <c r="F51" s="10" t="n">
        <f aca="false">D51*E51</f>
        <v>0.269504709992254</v>
      </c>
      <c r="G51" s="0" t="n">
        <v>4</v>
      </c>
      <c r="H51" s="3" t="n">
        <f aca="false">F51*G51*$E$32</f>
        <v>0.0197636787327653</v>
      </c>
    </row>
    <row r="52" customFormat="false" ht="15" hidden="false" customHeight="false" outlineLevel="0" collapsed="false">
      <c r="A52" s="0" t="n">
        <f aca="false">A51+1</f>
        <v>16</v>
      </c>
      <c r="B52" s="0" t="n">
        <f aca="false">B51+$C$32</f>
        <v>0.88</v>
      </c>
      <c r="C52" s="1" t="n">
        <f aca="false">1+(B52^2/$C$31)</f>
        <v>1.08604444444444</v>
      </c>
      <c r="D52" s="1" t="n">
        <f aca="false">C52^((($C$31+1)/2)*-1)</f>
        <v>0.66185371096141</v>
      </c>
      <c r="E52" s="1" t="n">
        <f aca="false">EXP(GAMMALN(($C$31+1)/2))/( (($C$31*PI())^0.5)*EXP(GAMMALN(($C$31/2))) )</f>
        <v>0.388034908871669</v>
      </c>
      <c r="F52" s="10" t="n">
        <f aca="false">D52*E52</f>
        <v>0.256822344419286</v>
      </c>
      <c r="G52" s="0" t="n">
        <v>2</v>
      </c>
      <c r="H52" s="3" t="n">
        <f aca="false">F52*G52*$E$32</f>
        <v>0.00941681929537383</v>
      </c>
    </row>
    <row r="53" customFormat="false" ht="15" hidden="false" customHeight="false" outlineLevel="0" collapsed="false">
      <c r="A53" s="0" t="n">
        <f aca="false">A52+1</f>
        <v>17</v>
      </c>
      <c r="B53" s="0" t="n">
        <f aca="false">B52+$C$32</f>
        <v>0.935</v>
      </c>
      <c r="C53" s="1" t="n">
        <f aca="false">1+(B53^2/$C$31)</f>
        <v>1.09713611111111</v>
      </c>
      <c r="D53" s="1" t="n">
        <f aca="false">C53^((($C$31+1)/2)*-1)</f>
        <v>0.62906779443589</v>
      </c>
      <c r="E53" s="1" t="n">
        <f aca="false">EXP(GAMMALN(($C$31+1)/2))/( (($C$31*PI())^0.5)*EXP(GAMMALN(($C$31/2))) )</f>
        <v>0.388034908871669</v>
      </c>
      <c r="F53" s="10" t="n">
        <f aca="false">D53*E53</f>
        <v>0.244100264288032</v>
      </c>
      <c r="G53" s="0" t="n">
        <v>4</v>
      </c>
      <c r="H53" s="3" t="n">
        <f aca="false">F53*G53*$E$32</f>
        <v>0.017900686047789</v>
      </c>
    </row>
    <row r="54" customFormat="false" ht="15" hidden="false" customHeight="false" outlineLevel="0" collapsed="false">
      <c r="A54" s="0" t="n">
        <f aca="false">A53+1</f>
        <v>18</v>
      </c>
      <c r="B54" s="0" t="n">
        <f aca="false">B53+$C$32</f>
        <v>0.99</v>
      </c>
      <c r="C54" s="1" t="n">
        <f aca="false">1+(B54^2/$C$31)</f>
        <v>1.1089</v>
      </c>
      <c r="D54" s="1" t="n">
        <f aca="false">C54^((($C$31+1)/2)*-1)</f>
        <v>0.596400615011807</v>
      </c>
      <c r="E54" s="1" t="n">
        <f aca="false">EXP(GAMMALN(($C$31+1)/2))/( (($C$31*PI())^0.5)*EXP(GAMMALN(($C$31/2))) )</f>
        <v>0.388034908871669</v>
      </c>
      <c r="F54" s="10" t="n">
        <f aca="false">D54*E54</f>
        <v>0.231424258297114</v>
      </c>
      <c r="G54" s="0" t="n">
        <v>2</v>
      </c>
      <c r="H54" s="3" t="n">
        <f aca="false">F54*G54*$E$32</f>
        <v>0.00848555613756083</v>
      </c>
    </row>
    <row r="55" customFormat="false" ht="15" hidden="false" customHeight="false" outlineLevel="0" collapsed="false">
      <c r="A55" s="0" t="n">
        <f aca="false">A54+1</f>
        <v>19</v>
      </c>
      <c r="B55" s="0" t="n">
        <f aca="false">B54+$C$32</f>
        <v>1.045</v>
      </c>
      <c r="C55" s="1" t="n">
        <f aca="false">1+(B55^2/$C$31)</f>
        <v>1.12133611111111</v>
      </c>
      <c r="D55" s="1" t="n">
        <f aca="false">C55^((($C$31+1)/2)*-1)</f>
        <v>0.56405435768959</v>
      </c>
      <c r="E55" s="1" t="n">
        <f aca="false">EXP(GAMMALN(($C$31+1)/2))/( (($C$31*PI())^0.5)*EXP(GAMMALN(($C$31/2))) )</f>
        <v>0.388034908871669</v>
      </c>
      <c r="F55" s="10" t="n">
        <f aca="false">D55*E55</f>
        <v>0.218872781284747</v>
      </c>
      <c r="G55" s="0" t="n">
        <v>4</v>
      </c>
      <c r="H55" s="3" t="n">
        <f aca="false">F55*G55*$E$32</f>
        <v>0.0160506706275482</v>
      </c>
    </row>
    <row r="56" customFormat="false" ht="15" hidden="false" customHeight="false" outlineLevel="0" collapsed="false">
      <c r="A56" s="0" t="n">
        <f aca="false">A55+1</f>
        <v>20</v>
      </c>
      <c r="B56" s="0" t="n">
        <f aca="false">B55+$C$32</f>
        <v>1.1</v>
      </c>
      <c r="C56" s="1" t="n">
        <f aca="false">1+(B56^2/$C$31)</f>
        <v>1.13444444444444</v>
      </c>
      <c r="D56" s="1" t="n">
        <f aca="false">C56^((($C$31+1)/2)*-1)</f>
        <v>0.532210988040641</v>
      </c>
      <c r="E56" s="1" t="n">
        <f aca="false">EXP(GAMMALN(($C$31+1)/2))/( (($C$31*PI())^0.5)*EXP(GAMMALN(($C$31/2))) )</f>
        <v>0.388034908871669</v>
      </c>
      <c r="F56" s="10" t="n">
        <f aca="false">D56*E56</f>
        <v>0.206516442244851</v>
      </c>
      <c r="G56" s="0" t="n">
        <v>1</v>
      </c>
      <c r="H56" s="3" t="n">
        <f aca="false">F56*G56*$E$32</f>
        <v>0.00378613477448894</v>
      </c>
    </row>
    <row r="58" customFormat="false" ht="15" hidden="false" customHeight="false" outlineLevel="0" collapsed="false">
      <c r="C58" s="11" t="n">
        <f aca="false">SUM(C36:C56)</f>
        <v>21.9646388888889</v>
      </c>
      <c r="D58" s="1" t="n">
        <f aca="false">SUM(D36:D56)</f>
        <v>17.1658730576259</v>
      </c>
      <c r="G58" s="3" t="s">
        <v>13</v>
      </c>
      <c r="H58" s="3" t="n">
        <f aca="false">SUM(H36:H56)</f>
        <v>0.350058636897201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8"/>
  <sheetViews>
    <sheetView showFormulas="false" showGridLines="true" showRowColHeaders="true" showZeros="true" rightToLeft="false" tabSelected="false" showOutlineSymbols="true" defaultGridColor="true" view="normal" topLeftCell="A28" colorId="64" zoomScale="115" zoomScaleNormal="115" zoomScalePageLayoutView="100" workbookViewId="0">
      <selection pane="topLeft" activeCell="E33" activeCellId="0" sqref="E33"/>
    </sheetView>
  </sheetViews>
  <sheetFormatPr defaultColWidth="10.55078125" defaultRowHeight="15" zeroHeight="false" outlineLevelRow="0" outlineLevelCol="0"/>
  <cols>
    <col collapsed="false" customWidth="true" hidden="false" outlineLevel="0" max="2" min="2" style="0" width="9.16"/>
    <col collapsed="false" customWidth="true" hidden="false" outlineLevel="0" max="4" min="4" style="0" width="8.5"/>
    <col collapsed="false" customWidth="true" hidden="false" outlineLevel="0" max="5" min="5" style="0" width="18.5"/>
    <col collapsed="false" customWidth="true" hidden="false" outlineLevel="0" max="6" min="6" style="0" width="16.66"/>
    <col collapsed="false" customWidth="true" hidden="false" outlineLevel="0" max="8" min="8" style="0" width="23.83"/>
    <col collapsed="false" customWidth="true" hidden="false" outlineLevel="0" max="9" min="9" style="0" width="19.83"/>
  </cols>
  <sheetData>
    <row r="1" customFormat="false" ht="15" hidden="false" customHeight="false" outlineLevel="0" collapsed="false">
      <c r="A1" s="0" t="s">
        <v>18</v>
      </c>
      <c r="B1" s="8" t="s">
        <v>1</v>
      </c>
      <c r="C1" s="8" t="n">
        <v>0</v>
      </c>
    </row>
    <row r="2" customFormat="false" ht="15" hidden="false" customHeight="false" outlineLevel="0" collapsed="false">
      <c r="A2" s="0" t="s">
        <v>19</v>
      </c>
      <c r="B2" s="8" t="s">
        <v>8</v>
      </c>
      <c r="C2" s="8" t="n">
        <v>1.1812</v>
      </c>
      <c r="D2" s="4"/>
      <c r="E2" s="4"/>
      <c r="F2" s="4"/>
    </row>
    <row r="3" customFormat="false" ht="15" hidden="false" customHeight="false" outlineLevel="0" collapsed="false">
      <c r="B3" s="8" t="s">
        <v>4</v>
      </c>
      <c r="C3" s="8" t="n">
        <v>10</v>
      </c>
      <c r="D3" s="4"/>
      <c r="E3" s="4"/>
      <c r="F3" s="4"/>
    </row>
    <row r="4" customFormat="false" ht="15" hidden="false" customHeight="false" outlineLevel="0" collapsed="false">
      <c r="B4" s="8" t="s">
        <v>36</v>
      </c>
      <c r="C4" s="8" t="n">
        <v>10</v>
      </c>
    </row>
    <row r="5" customFormat="false" ht="15" hidden="false" customHeight="false" outlineLevel="0" collapsed="false">
      <c r="B5" s="0" t="s">
        <v>20</v>
      </c>
      <c r="C5" s="0" t="n">
        <f aca="false">(C2-C1)/(C3)</f>
        <v>0.11812</v>
      </c>
      <c r="D5" s="9" t="s">
        <v>21</v>
      </c>
      <c r="E5" s="0" t="n">
        <f aca="false">(C2-C1)/(3*C3)</f>
        <v>0.0393733333333333</v>
      </c>
    </row>
    <row r="6" customFormat="false" ht="15" hidden="false" customHeight="false" outlineLevel="0" collapsed="false">
      <c r="D6" s="0" t="n">
        <f aca="false">EXP(GAMMALN(5))</f>
        <v>24</v>
      </c>
    </row>
    <row r="7" customFormat="false" ht="15" hidden="false" customHeight="false" outlineLevel="0" collapsed="false">
      <c r="B7" s="0" t="s">
        <v>8</v>
      </c>
      <c r="C7" s="0" t="s">
        <v>37</v>
      </c>
    </row>
    <row r="8" customFormat="false" ht="15" hidden="false" customHeight="false" outlineLevel="0" collapsed="false">
      <c r="C8" s="1" t="s">
        <v>38</v>
      </c>
      <c r="D8" s="1" t="s">
        <v>39</v>
      </c>
      <c r="E8" s="1" t="s">
        <v>40</v>
      </c>
      <c r="F8" s="10" t="s">
        <v>41</v>
      </c>
      <c r="G8" s="1" t="s">
        <v>28</v>
      </c>
      <c r="H8" s="1" t="s">
        <v>42</v>
      </c>
    </row>
    <row r="9" customFormat="false" ht="15" hidden="false" customHeight="false" outlineLevel="0" collapsed="false">
      <c r="A9" s="0" t="n">
        <v>0</v>
      </c>
      <c r="B9" s="8" t="n">
        <v>0</v>
      </c>
      <c r="C9" s="1" t="n">
        <f aca="false">1+(B9^2/$C$4)</f>
        <v>1</v>
      </c>
      <c r="D9" s="1" t="n">
        <f aca="false">C9^((($C$4+1)/2)*-1)</f>
        <v>1</v>
      </c>
      <c r="E9" s="1" t="n">
        <f aca="false">EXP(GAMMALN(($C$4+1)/2))/( (($C$4*PI())^0.5)*EXP(GAMMALN(($C$4/2))) )</f>
        <v>0.389108383966031</v>
      </c>
      <c r="F9" s="10" t="n">
        <f aca="false">D9*E9</f>
        <v>0.389108383966031</v>
      </c>
      <c r="G9" s="4" t="n">
        <v>1</v>
      </c>
      <c r="H9" s="3" t="n">
        <f aca="false">F9*G9*$E$5</f>
        <v>0.0153204941046892</v>
      </c>
    </row>
    <row r="10" customFormat="false" ht="15" hidden="false" customHeight="false" outlineLevel="0" collapsed="false">
      <c r="A10" s="0" t="n">
        <f aca="false">A9+1</f>
        <v>1</v>
      </c>
      <c r="B10" s="0" t="n">
        <f aca="false">B9+$C$5</f>
        <v>0.11812</v>
      </c>
      <c r="C10" s="1" t="n">
        <f aca="false">1+(B10^2/$C$4)</f>
        <v>1.00139523344</v>
      </c>
      <c r="D10" s="1" t="n">
        <f aca="false">C10^((($C$4+1)/2)*-1)</f>
        <v>0.992360891904415</v>
      </c>
      <c r="E10" s="1" t="n">
        <f aca="false">EXP(GAMMALN(($C$4+1)/2))/( (($C$4*PI())^0.5)*EXP(GAMMALN(($C$4/2))) )</f>
        <v>0.389108383966031</v>
      </c>
      <c r="F10" s="10" t="n">
        <f aca="false">D10*E10</f>
        <v>0.386135942960016</v>
      </c>
      <c r="G10" s="0" t="n">
        <v>4</v>
      </c>
      <c r="H10" s="0" t="n">
        <f aca="false">F10*G10*$E$5</f>
        <v>0.0608138367765828</v>
      </c>
    </row>
    <row r="11" customFormat="false" ht="15" hidden="false" customHeight="false" outlineLevel="0" collapsed="false">
      <c r="A11" s="0" t="n">
        <f aca="false">A10+1</f>
        <v>2</v>
      </c>
      <c r="B11" s="0" t="n">
        <f aca="false">B10+$C$5</f>
        <v>0.23624</v>
      </c>
      <c r="C11" s="1" t="n">
        <f aca="false">1+(B11^2/$C$4)</f>
        <v>1.00558093376</v>
      </c>
      <c r="D11" s="1" t="n">
        <f aca="false">C11^((($C$4+1)/2)*-1)</f>
        <v>0.969853936958906</v>
      </c>
      <c r="E11" s="1" t="n">
        <f aca="false">EXP(GAMMALN(($C$4+1)/2))/( (($C$4*PI())^0.5)*EXP(GAMMALN(($C$4/2))) )</f>
        <v>0.389108383966031</v>
      </c>
      <c r="F11" s="10" t="n">
        <f aca="false">D11*E11</f>
        <v>0.377378298093173</v>
      </c>
      <c r="G11" s="0" t="n">
        <v>2</v>
      </c>
      <c r="H11" s="0" t="n">
        <f aca="false">F11*G11*$E$5</f>
        <v>0.0297172830471771</v>
      </c>
    </row>
    <row r="12" customFormat="false" ht="15" hidden="false" customHeight="false" outlineLevel="0" collapsed="false">
      <c r="A12" s="0" t="n">
        <f aca="false">A11+1</f>
        <v>3</v>
      </c>
      <c r="B12" s="0" t="n">
        <f aca="false">B11+$C$5</f>
        <v>0.35436</v>
      </c>
      <c r="C12" s="1" t="n">
        <f aca="false">1+(B12^2/$C$4)</f>
        <v>1.01255710096</v>
      </c>
      <c r="D12" s="1" t="n">
        <f aca="false">C12^((($C$4+1)/2)*-1)</f>
        <v>0.933668312806319</v>
      </c>
      <c r="E12" s="1" t="n">
        <f aca="false">EXP(GAMMALN(($C$4+1)/2))/( (($C$4*PI())^0.5)*EXP(GAMMALN(($C$4/2))) )</f>
        <v>0.389108383966031</v>
      </c>
      <c r="F12" s="10" t="n">
        <f aca="false">D12*E12</f>
        <v>0.363298168356358</v>
      </c>
      <c r="G12" s="0" t="n">
        <v>4</v>
      </c>
      <c r="H12" s="0" t="n">
        <f aca="false">F12*G12*$E$5</f>
        <v>0.0572170395283373</v>
      </c>
    </row>
    <row r="13" customFormat="false" ht="15" hidden="false" customHeight="false" outlineLevel="0" collapsed="false">
      <c r="A13" s="0" t="n">
        <f aca="false">A12+1</f>
        <v>4</v>
      </c>
      <c r="B13" s="0" t="n">
        <f aca="false">B12+$C$5</f>
        <v>0.47248</v>
      </c>
      <c r="C13" s="1" t="n">
        <f aca="false">1+(B13^2/$C$4)</f>
        <v>1.02232373504</v>
      </c>
      <c r="D13" s="1" t="n">
        <f aca="false">C13^((($C$4+1)/2)*-1)</f>
        <v>0.885652920305015</v>
      </c>
      <c r="E13" s="1" t="n">
        <f aca="false">EXP(GAMMALN(($C$4+1)/2))/( (($C$4*PI())^0.5)*EXP(GAMMALN(($C$4/2))) )</f>
        <v>0.389108383966031</v>
      </c>
      <c r="F13" s="10" t="n">
        <f aca="false">D13*E13</f>
        <v>0.344614976574681</v>
      </c>
      <c r="G13" s="0" t="n">
        <v>2</v>
      </c>
      <c r="H13" s="0" t="n">
        <f aca="false">F13*G13*$E$5</f>
        <v>0.0271372806886675</v>
      </c>
    </row>
    <row r="14" customFormat="false" ht="15" hidden="false" customHeight="false" outlineLevel="0" collapsed="false">
      <c r="A14" s="0" t="n">
        <f aca="false">A13+1</f>
        <v>5</v>
      </c>
      <c r="B14" s="0" t="n">
        <f aca="false">B13+$C$5</f>
        <v>0.5906</v>
      </c>
      <c r="C14" s="1" t="n">
        <f aca="false">1+(B14^2/$C$4)</f>
        <v>1.034880836</v>
      </c>
      <c r="D14" s="1" t="n">
        <f aca="false">C14^((($C$4+1)/2)*-1)</f>
        <v>0.828138745304755</v>
      </c>
      <c r="E14" s="1" t="n">
        <f aca="false">EXP(GAMMALN(($C$4+1)/2))/( (($C$4*PI())^0.5)*EXP(GAMMALN(($C$4/2))) )</f>
        <v>0.389108383966031</v>
      </c>
      <c r="F14" s="10" t="n">
        <f aca="false">D14*E14</f>
        <v>0.32223572888519</v>
      </c>
      <c r="G14" s="0" t="n">
        <v>4</v>
      </c>
      <c r="H14" s="0" t="n">
        <f aca="false">F14*G14*$E$5</f>
        <v>0.0507499790612248</v>
      </c>
    </row>
    <row r="15" customFormat="false" ht="15" hidden="false" customHeight="false" outlineLevel="0" collapsed="false">
      <c r="A15" s="0" t="n">
        <f aca="false">A14+1</f>
        <v>6</v>
      </c>
      <c r="B15" s="0" t="n">
        <f aca="false">B14+$C$5</f>
        <v>0.70872</v>
      </c>
      <c r="C15" s="1" t="n">
        <f aca="false">1+(B15^2/$C$4)</f>
        <v>1.05022840384</v>
      </c>
      <c r="D15" s="1" t="n">
        <f aca="false">C15^((($C$4+1)/2)*-1)</f>
        <v>0.763729069415588</v>
      </c>
      <c r="E15" s="1" t="n">
        <f aca="false">EXP(GAMMALN(($C$4+1)/2))/( (($C$4*PI())^0.5)*EXP(GAMMALN(($C$4/2))) )</f>
        <v>0.389108383966031</v>
      </c>
      <c r="F15" s="10" t="n">
        <f aca="false">D15*E15</f>
        <v>0.29717338398818</v>
      </c>
      <c r="G15" s="0" t="n">
        <v>2</v>
      </c>
      <c r="H15" s="0" t="n">
        <f aca="false">F15*G15*$E$5</f>
        <v>0.0234014134111226</v>
      </c>
    </row>
    <row r="16" customFormat="false" ht="15" hidden="false" customHeight="false" outlineLevel="0" collapsed="false">
      <c r="A16" s="0" t="n">
        <f aca="false">A15+1</f>
        <v>7</v>
      </c>
      <c r="B16" s="0" t="n">
        <f aca="false">B15+$C$5</f>
        <v>0.82684</v>
      </c>
      <c r="C16" s="1" t="n">
        <f aca="false">1+(B16^2/$C$4)</f>
        <v>1.06836643856</v>
      </c>
      <c r="D16" s="1" t="n">
        <f aca="false">C16^((($C$4+1)/2)*-1)</f>
        <v>0.695086250791926</v>
      </c>
      <c r="E16" s="1" t="n">
        <f aca="false">EXP(GAMMALN(($C$4+1)/2))/( (($C$4*PI())^0.5)*EXP(GAMMALN(($C$4/2))) )</f>
        <v>0.389108383966031</v>
      </c>
      <c r="F16" s="10" t="n">
        <f aca="false">D16*E16</f>
        <v>0.270463887762654</v>
      </c>
      <c r="G16" s="0" t="n">
        <v>4</v>
      </c>
      <c r="H16" s="0" t="n">
        <f aca="false">F16*G16*$E$5</f>
        <v>0.0425962592300329</v>
      </c>
    </row>
    <row r="17" customFormat="false" ht="15" hidden="false" customHeight="false" outlineLevel="0" collapsed="false">
      <c r="A17" s="0" t="n">
        <f aca="false">A16+1</f>
        <v>8</v>
      </c>
      <c r="B17" s="0" t="n">
        <f aca="false">B16+$C$5</f>
        <v>0.94496</v>
      </c>
      <c r="C17" s="1" t="n">
        <f aca="false">1+(B17^2/$C$4)</f>
        <v>1.08929494016</v>
      </c>
      <c r="D17" s="1" t="n">
        <f aca="false">C17^((($C$4+1)/2)*-1)</f>
        <v>0.624740736557754</v>
      </c>
      <c r="E17" s="1" t="n">
        <f aca="false">EXP(GAMMALN(($C$4+1)/2))/( (($C$4*PI())^0.5)*EXP(GAMMALN(($C$4/2))) )</f>
        <v>0.389108383966031</v>
      </c>
      <c r="F17" s="10" t="n">
        <f aca="false">D17*E17</f>
        <v>0.243091858399736</v>
      </c>
      <c r="G17" s="0" t="n">
        <v>2</v>
      </c>
      <c r="H17" s="0" t="n">
        <f aca="false">F17*G17*$E$5</f>
        <v>0.0191426735427845</v>
      </c>
    </row>
    <row r="18" customFormat="false" ht="15" hidden="false" customHeight="false" outlineLevel="0" collapsed="false">
      <c r="A18" s="0" t="n">
        <f aca="false">A17+1</f>
        <v>9</v>
      </c>
      <c r="B18" s="0" t="n">
        <f aca="false">B17+$C$5</f>
        <v>1.06308</v>
      </c>
      <c r="C18" s="1" t="n">
        <f aca="false">1+(B18^2/$C$4)</f>
        <v>1.11301390864</v>
      </c>
      <c r="D18" s="1" t="n">
        <f aca="false">C18^((($C$4+1)/2)*-1)</f>
        <v>0.554940916250087</v>
      </c>
      <c r="E18" s="1" t="n">
        <f aca="false">EXP(GAMMALN(($C$4+1)/2))/( (($C$4*PI())^0.5)*EXP(GAMMALN(($C$4/2))) )</f>
        <v>0.389108383966031</v>
      </c>
      <c r="F18" s="10" t="n">
        <f aca="false">D18*E18</f>
        <v>0.2159321631187</v>
      </c>
      <c r="G18" s="0" t="n">
        <v>4</v>
      </c>
      <c r="H18" s="0" t="n">
        <f aca="false">F18*G18*$E$5</f>
        <v>0.0340078761434411</v>
      </c>
    </row>
    <row r="19" customFormat="false" ht="15" hidden="false" customHeight="false" outlineLevel="0" collapsed="false">
      <c r="A19" s="0" t="n">
        <f aca="false">A18+1</f>
        <v>10</v>
      </c>
      <c r="B19" s="8" t="n">
        <f aca="false">B18+$C$5</f>
        <v>1.1812</v>
      </c>
      <c r="C19" s="1" t="n">
        <f aca="false">1+(B19^2/$C$4)</f>
        <v>1.139523344</v>
      </c>
      <c r="D19" s="1" t="n">
        <f aca="false">C19^((($C$4+1)/2)*-1)</f>
        <v>0.487553473077475</v>
      </c>
      <c r="E19" s="1" t="n">
        <f aca="false">EXP(GAMMALN(($C$4+1)/2))/( (($C$4*PI())^0.5)*EXP(GAMMALN(($C$4/2))) )</f>
        <v>0.389108383966031</v>
      </c>
      <c r="F19" s="10" t="n">
        <f aca="false">D19*E19</f>
        <v>0.189711144006202</v>
      </c>
      <c r="G19" s="4" t="n">
        <v>1</v>
      </c>
      <c r="H19" s="3" t="n">
        <f aca="false">F19*G19*$E$5</f>
        <v>0.0074695601100042</v>
      </c>
    </row>
    <row r="21" customFormat="false" ht="15" hidden="false" customHeight="false" outlineLevel="0" collapsed="false">
      <c r="C21" s="11" t="n">
        <f aca="false">SUM(C9:C19)</f>
        <v>11.5371648744</v>
      </c>
      <c r="D21" s="1" t="n">
        <f aca="false">SUM(D9:D19)</f>
        <v>8.73572525337224</v>
      </c>
      <c r="G21" s="0" t="s">
        <v>13</v>
      </c>
      <c r="H21" s="0" t="n">
        <f aca="false">SUM(H9:H19)</f>
        <v>0.367573695644064</v>
      </c>
    </row>
    <row r="22" customFormat="false" ht="15" hidden="false" customHeight="false" outlineLevel="0" collapsed="false">
      <c r="G22" s="0" t="s">
        <v>12</v>
      </c>
      <c r="H22" s="0" t="s">
        <v>12</v>
      </c>
    </row>
    <row r="24" customFormat="false" ht="15" hidden="false" customHeight="false" outlineLevel="0" collapsed="false">
      <c r="G24" s="0" t="s">
        <v>34</v>
      </c>
      <c r="H24" s="0" t="n">
        <v>1E-005</v>
      </c>
    </row>
    <row r="25" customFormat="false" ht="15" hidden="false" customHeight="false" outlineLevel="0" collapsed="false">
      <c r="G25" s="0" t="s">
        <v>43</v>
      </c>
      <c r="H25" s="0" t="n">
        <f aca="false">H21</f>
        <v>0.367573695644064</v>
      </c>
      <c r="I25" s="12" t="n">
        <f aca="false">ABS(H26-H25)</f>
        <v>2.90491512233704E-007</v>
      </c>
    </row>
    <row r="26" customFormat="false" ht="15" hidden="false" customHeight="false" outlineLevel="0" collapsed="false">
      <c r="G26" s="0" t="s">
        <v>44</v>
      </c>
      <c r="H26" s="0" t="n">
        <f aca="false">H58</f>
        <v>0.367573405152552</v>
      </c>
    </row>
    <row r="27" customFormat="false" ht="15" hidden="false" customHeight="false" outlineLevel="0" collapsed="false">
      <c r="H27" s="0" t="s">
        <v>12</v>
      </c>
    </row>
    <row r="28" customFormat="false" ht="15" hidden="false" customHeight="false" outlineLevel="0" collapsed="false">
      <c r="B28" s="0" t="s">
        <v>1</v>
      </c>
      <c r="C28" s="0" t="n">
        <v>0</v>
      </c>
    </row>
    <row r="29" customFormat="false" ht="15" hidden="false" customHeight="false" outlineLevel="0" collapsed="false">
      <c r="B29" s="4" t="s">
        <v>8</v>
      </c>
      <c r="C29" s="4" t="n">
        <v>1.1812</v>
      </c>
      <c r="D29" s="4"/>
      <c r="E29" s="4"/>
      <c r="F29" s="4"/>
    </row>
    <row r="30" customFormat="false" ht="15" hidden="false" customHeight="false" outlineLevel="0" collapsed="false">
      <c r="B30" s="4" t="s">
        <v>4</v>
      </c>
      <c r="C30" s="4" t="n">
        <v>20</v>
      </c>
      <c r="D30" s="4"/>
      <c r="E30" s="4"/>
      <c r="F30" s="4"/>
    </row>
    <row r="31" customFormat="false" ht="15" hidden="false" customHeight="false" outlineLevel="0" collapsed="false">
      <c r="B31" s="0" t="s">
        <v>36</v>
      </c>
      <c r="C31" s="0" t="n">
        <v>10</v>
      </c>
    </row>
    <row r="32" customFormat="false" ht="15" hidden="false" customHeight="false" outlineLevel="0" collapsed="false">
      <c r="B32" s="0" t="s">
        <v>20</v>
      </c>
      <c r="C32" s="0" t="n">
        <f aca="false">(C29-C28)/(C30)</f>
        <v>0.05906</v>
      </c>
      <c r="D32" s="9" t="s">
        <v>21</v>
      </c>
      <c r="E32" s="0" t="n">
        <f aca="false">(C29-C28)/(3*C30)</f>
        <v>0.0196866666666667</v>
      </c>
    </row>
    <row r="33" customFormat="false" ht="15" hidden="false" customHeight="false" outlineLevel="0" collapsed="false">
      <c r="D33" s="0" t="n">
        <f aca="false">EXP(GAMMALN(5))</f>
        <v>24</v>
      </c>
    </row>
    <row r="34" customFormat="false" ht="15" hidden="false" customHeight="false" outlineLevel="0" collapsed="false">
      <c r="B34" s="0" t="s">
        <v>8</v>
      </c>
      <c r="C34" s="0" t="s">
        <v>37</v>
      </c>
    </row>
    <row r="35" customFormat="false" ht="15" hidden="false" customHeight="false" outlineLevel="0" collapsed="false">
      <c r="C35" s="1" t="s">
        <v>38</v>
      </c>
      <c r="D35" s="1" t="s">
        <v>39</v>
      </c>
      <c r="E35" s="1" t="s">
        <v>40</v>
      </c>
      <c r="F35" s="10" t="s">
        <v>41</v>
      </c>
    </row>
    <row r="36" customFormat="false" ht="15" hidden="false" customHeight="false" outlineLevel="0" collapsed="false">
      <c r="A36" s="0" t="n">
        <v>0</v>
      </c>
      <c r="B36" s="0" t="n">
        <v>0</v>
      </c>
      <c r="C36" s="1" t="n">
        <f aca="false">1+(B36^2/$C$31)</f>
        <v>1</v>
      </c>
      <c r="D36" s="1" t="n">
        <f aca="false">C36^((($C$31+1)/2)*-1)</f>
        <v>1</v>
      </c>
      <c r="E36" s="1" t="n">
        <f aca="false">EXP(GAMMALN(($C$31+1)/2))/( (($C$31*PI())^0.5)*EXP(GAMMALN(($C$31/2))) )</f>
        <v>0.389108383966031</v>
      </c>
      <c r="F36" s="10" t="n">
        <f aca="false">D36*E36</f>
        <v>0.389108383966031</v>
      </c>
      <c r="G36" s="4" t="n">
        <v>1</v>
      </c>
      <c r="H36" s="3" t="n">
        <f aca="false">F36*G36*$E$32</f>
        <v>0.0076602470523446</v>
      </c>
    </row>
    <row r="37" customFormat="false" ht="15" hidden="false" customHeight="false" outlineLevel="0" collapsed="false">
      <c r="A37" s="0" t="n">
        <f aca="false">A36+1</f>
        <v>1</v>
      </c>
      <c r="B37" s="0" t="n">
        <f aca="false">B36+$C$32</f>
        <v>0.05906</v>
      </c>
      <c r="C37" s="1" t="n">
        <f aca="false">1+(B37^2/$C$31)</f>
        <v>1.00034880836</v>
      </c>
      <c r="D37" s="1" t="n">
        <f aca="false">C37^((($C$31+1)/2)*-1)</f>
        <v>0.998083726927418</v>
      </c>
      <c r="E37" s="1" t="n">
        <f aca="false">EXP(GAMMALN(($C$31+1)/2))/( (($C$31*PI())^0.5)*EXP(GAMMALN(($C$31/2))) )</f>
        <v>0.389108383966031</v>
      </c>
      <c r="F37" s="10" t="n">
        <f aca="false">D37*E37</f>
        <v>0.388362746047521</v>
      </c>
      <c r="G37" s="0" t="n">
        <v>4</v>
      </c>
      <c r="H37" s="3" t="n">
        <f aca="false">F37*G37*$E$32</f>
        <v>0.0305822717087555</v>
      </c>
    </row>
    <row r="38" customFormat="false" ht="15" hidden="false" customHeight="false" outlineLevel="0" collapsed="false">
      <c r="A38" s="0" t="n">
        <f aca="false">A37+1</f>
        <v>2</v>
      </c>
      <c r="B38" s="0" t="n">
        <f aca="false">B37+$C$32</f>
        <v>0.11812</v>
      </c>
      <c r="C38" s="1" t="n">
        <f aca="false">1+(B38^2/$C$31)</f>
        <v>1.00139523344</v>
      </c>
      <c r="D38" s="1" t="n">
        <f aca="false">C38^((($C$31+1)/2)*-1)</f>
        <v>0.992360891904415</v>
      </c>
      <c r="E38" s="1" t="n">
        <f aca="false">EXP(GAMMALN(($C$31+1)/2))/( (($C$31*PI())^0.5)*EXP(GAMMALN(($C$31/2))) )</f>
        <v>0.389108383966031</v>
      </c>
      <c r="F38" s="10" t="n">
        <f aca="false">D38*E38</f>
        <v>0.386135942960016</v>
      </c>
      <c r="G38" s="0" t="n">
        <v>2</v>
      </c>
      <c r="H38" s="3" t="n">
        <f aca="false">F38*G38*$E$32</f>
        <v>0.0152034591941457</v>
      </c>
    </row>
    <row r="39" customFormat="false" ht="15" hidden="false" customHeight="false" outlineLevel="0" collapsed="false">
      <c r="A39" s="0" t="n">
        <f aca="false">A38+1</f>
        <v>3</v>
      </c>
      <c r="B39" s="0" t="n">
        <f aca="false">B38+$C$32</f>
        <v>0.17718</v>
      </c>
      <c r="C39" s="1" t="n">
        <f aca="false">1+(B39^2/$C$31)</f>
        <v>1.00313927524</v>
      </c>
      <c r="D39" s="1" t="n">
        <f aca="false">C39^((($C$31+1)/2)*-1)</f>
        <v>0.982908771820563</v>
      </c>
      <c r="E39" s="1" t="n">
        <f aca="false">EXP(GAMMALN(($C$31+1)/2))/( (($C$31*PI())^0.5)*EXP(GAMMALN(($C$31/2))) )</f>
        <v>0.389108383966031</v>
      </c>
      <c r="F39" s="10" t="n">
        <f aca="false">D39*E39</f>
        <v>0.382458043789136</v>
      </c>
      <c r="G39" s="0" t="n">
        <v>4</v>
      </c>
      <c r="H39" s="3" t="n">
        <f aca="false">F39*G39*$E$32</f>
        <v>0.0301172960882485</v>
      </c>
    </row>
    <row r="40" customFormat="false" ht="15" hidden="false" customHeight="false" outlineLevel="0" collapsed="false">
      <c r="A40" s="0" t="n">
        <f aca="false">A39+1</f>
        <v>4</v>
      </c>
      <c r="B40" s="0" t="n">
        <f aca="false">B39+$C$32</f>
        <v>0.23624</v>
      </c>
      <c r="C40" s="1" t="n">
        <f aca="false">1+(B40^2/$C$31)</f>
        <v>1.00558093376</v>
      </c>
      <c r="D40" s="1" t="n">
        <f aca="false">C40^((($C$31+1)/2)*-1)</f>
        <v>0.969853936958906</v>
      </c>
      <c r="E40" s="1" t="n">
        <f aca="false">EXP(GAMMALN(($C$31+1)/2))/( (($C$31*PI())^0.5)*EXP(GAMMALN(($C$31/2))) )</f>
        <v>0.389108383966031</v>
      </c>
      <c r="F40" s="10" t="n">
        <f aca="false">D40*E40</f>
        <v>0.377378298093173</v>
      </c>
      <c r="G40" s="0" t="n">
        <v>2</v>
      </c>
      <c r="H40" s="3" t="n">
        <f aca="false">F40*G40*$E$32</f>
        <v>0.0148586415235885</v>
      </c>
    </row>
    <row r="41" customFormat="false" ht="15" hidden="false" customHeight="false" outlineLevel="0" collapsed="false">
      <c r="A41" s="0" t="n">
        <f aca="false">A40+1</f>
        <v>5</v>
      </c>
      <c r="B41" s="0" t="n">
        <f aca="false">B40+$C$32</f>
        <v>0.2953</v>
      </c>
      <c r="C41" s="1" t="n">
        <f aca="false">1+(B41^2/$C$31)</f>
        <v>1.008720209</v>
      </c>
      <c r="D41" s="1" t="n">
        <f aca="false">C41^((($C$31+1)/2)*-1)</f>
        <v>0.95336900980091</v>
      </c>
      <c r="E41" s="1" t="n">
        <f aca="false">EXP(GAMMALN(($C$31+1)/2))/( (($C$31*PI())^0.5)*EXP(GAMMALN(($C$31/2))) )</f>
        <v>0.389108383966031</v>
      </c>
      <c r="F41" s="10" t="n">
        <f aca="false">D41*E41</f>
        <v>0.370963874726927</v>
      </c>
      <c r="G41" s="0" t="n">
        <v>4</v>
      </c>
      <c r="H41" s="3" t="n">
        <f aca="false">F41*G41*$E$32</f>
        <v>0.0292121685884964</v>
      </c>
    </row>
    <row r="42" customFormat="false" ht="15" hidden="false" customHeight="false" outlineLevel="0" collapsed="false">
      <c r="A42" s="0" t="n">
        <f aca="false">A41+1</f>
        <v>6</v>
      </c>
      <c r="B42" s="0" t="n">
        <f aca="false">B41+$C$32</f>
        <v>0.35436</v>
      </c>
      <c r="C42" s="1" t="n">
        <f aca="false">1+(B42^2/$C$31)</f>
        <v>1.01255710096</v>
      </c>
      <c r="D42" s="1" t="n">
        <f aca="false">C42^((($C$31+1)/2)*-1)</f>
        <v>0.933668312806319</v>
      </c>
      <c r="E42" s="1" t="n">
        <f aca="false">EXP(GAMMALN(($C$31+1)/2))/( (($C$31*PI())^0.5)*EXP(GAMMALN(($C$31/2))) )</f>
        <v>0.389108383966031</v>
      </c>
      <c r="F42" s="10" t="n">
        <f aca="false">D42*E42</f>
        <v>0.363298168356358</v>
      </c>
      <c r="G42" s="0" t="n">
        <v>2</v>
      </c>
      <c r="H42" s="3" t="n">
        <f aca="false">F42*G42*$E$32</f>
        <v>0.0143042598820843</v>
      </c>
    </row>
    <row r="43" customFormat="false" ht="15" hidden="false" customHeight="false" outlineLevel="0" collapsed="false">
      <c r="A43" s="0" t="n">
        <f aca="false">A42+1</f>
        <v>7</v>
      </c>
      <c r="B43" s="0" t="n">
        <f aca="false">B42+$C$32</f>
        <v>0.41342</v>
      </c>
      <c r="C43" s="1" t="n">
        <f aca="false">1+(B43^2/$C$31)</f>
        <v>1.01709160964</v>
      </c>
      <c r="D43" s="1" t="n">
        <f aca="false">C43^((($C$31+1)/2)*-1)</f>
        <v>0.911002577651874</v>
      </c>
      <c r="E43" s="1" t="n">
        <f aca="false">EXP(GAMMALN(($C$31+1)/2))/( (($C$31*PI())^0.5)*EXP(GAMMALN(($C$31/2))) )</f>
        <v>0.389108383966031</v>
      </c>
      <c r="F43" s="10" t="n">
        <f aca="false">D43*E43</f>
        <v>0.35447874077901</v>
      </c>
      <c r="G43" s="0" t="n">
        <v>4</v>
      </c>
      <c r="H43" s="3" t="n">
        <f aca="false">F43*G43*$E$32</f>
        <v>0.0279140192405444</v>
      </c>
    </row>
    <row r="44" customFormat="false" ht="15" hidden="false" customHeight="false" outlineLevel="0" collapsed="false">
      <c r="A44" s="0" t="n">
        <f aca="false">A43+1</f>
        <v>8</v>
      </c>
      <c r="B44" s="0" t="n">
        <f aca="false">B43+$C$32</f>
        <v>0.47248</v>
      </c>
      <c r="C44" s="1" t="n">
        <f aca="false">1+(B44^2/$C$31)</f>
        <v>1.02232373504</v>
      </c>
      <c r="D44" s="1" t="n">
        <f aca="false">C44^((($C$31+1)/2)*-1)</f>
        <v>0.885652920305015</v>
      </c>
      <c r="E44" s="1" t="n">
        <f aca="false">EXP(GAMMALN(($C$31+1)/2))/( (($C$31*PI())^0.5)*EXP(GAMMALN(($C$31/2))) )</f>
        <v>0.389108383966031</v>
      </c>
      <c r="F44" s="10" t="n">
        <f aca="false">D44*E44</f>
        <v>0.344614976574681</v>
      </c>
      <c r="G44" s="0" t="n">
        <v>2</v>
      </c>
      <c r="H44" s="3" t="n">
        <f aca="false">F44*G44*$E$32</f>
        <v>0.0135686403443338</v>
      </c>
    </row>
    <row r="45" customFormat="false" ht="15" hidden="false" customHeight="false" outlineLevel="0" collapsed="false">
      <c r="A45" s="0" t="n">
        <f aca="false">A44+1</f>
        <v>9</v>
      </c>
      <c r="B45" s="0" t="n">
        <f aca="false">B44+$C$32</f>
        <v>0.53154</v>
      </c>
      <c r="C45" s="1" t="n">
        <f aca="false">1+(B45^2/$C$31)</f>
        <v>1.02825347716</v>
      </c>
      <c r="D45" s="1" t="n">
        <f aca="false">C45^((($C$31+1)/2)*-1)</f>
        <v>0.857924307026941</v>
      </c>
      <c r="E45" s="1" t="n">
        <f aca="false">EXP(GAMMALN(($C$31+1)/2))/( (($C$31*PI())^0.5)*EXP(GAMMALN(($C$31/2))) )</f>
        <v>0.389108383966031</v>
      </c>
      <c r="F45" s="10" t="n">
        <f aca="false">D45*E45</f>
        <v>0.33382554067243</v>
      </c>
      <c r="G45" s="0" t="n">
        <v>4</v>
      </c>
      <c r="H45" s="3" t="n">
        <f aca="false">F45*G45*$E$32</f>
        <v>0.0262876485761516</v>
      </c>
    </row>
    <row r="46" customFormat="false" ht="15" hidden="false" customHeight="false" outlineLevel="0" collapsed="false">
      <c r="A46" s="0" t="n">
        <f aca="false">A45+1</f>
        <v>10</v>
      </c>
      <c r="B46" s="0" t="n">
        <f aca="false">B45+$C$32</f>
        <v>0.5906</v>
      </c>
      <c r="C46" s="1" t="n">
        <f aca="false">1+(B46^2/$C$31)</f>
        <v>1.034880836</v>
      </c>
      <c r="D46" s="1" t="n">
        <f aca="false">C46^((($C$31+1)/2)*-1)</f>
        <v>0.828138745304755</v>
      </c>
      <c r="E46" s="1" t="n">
        <f aca="false">EXP(GAMMALN(($C$31+1)/2))/( (($C$31*PI())^0.5)*EXP(GAMMALN(($C$31/2))) )</f>
        <v>0.389108383966031</v>
      </c>
      <c r="F46" s="10" t="n">
        <f aca="false">D46*E46</f>
        <v>0.32223572888519</v>
      </c>
      <c r="G46" s="0" t="n">
        <v>2</v>
      </c>
      <c r="H46" s="3" t="n">
        <f aca="false">F46*G46*$E$32</f>
        <v>0.0126874947653062</v>
      </c>
    </row>
    <row r="47" customFormat="false" ht="15" hidden="false" customHeight="false" outlineLevel="0" collapsed="false">
      <c r="A47" s="0" t="n">
        <f aca="false">A46+1</f>
        <v>11</v>
      </c>
      <c r="B47" s="0" t="n">
        <f aca="false">B46+$C$32</f>
        <v>0.64966</v>
      </c>
      <c r="C47" s="1" t="n">
        <f aca="false">1+(B47^2/$C$31)</f>
        <v>1.04220581156</v>
      </c>
      <c r="D47" s="1" t="n">
        <f aca="false">C47^((($C$31+1)/2)*-1)</f>
        <v>0.796628430981813</v>
      </c>
      <c r="E47" s="1" t="n">
        <f aca="false">EXP(GAMMALN(($C$31+1)/2))/( (($C$31*PI())^0.5)*EXP(GAMMALN(($C$31/2))) )</f>
        <v>0.389108383966031</v>
      </c>
      <c r="F47" s="10" t="n">
        <f aca="false">D47*E47</f>
        <v>0.309974801400728</v>
      </c>
      <c r="G47" s="0" t="n">
        <v>4</v>
      </c>
      <c r="H47" s="3" t="n">
        <f aca="false">F47*G47*$E$32</f>
        <v>0.0244094823609693</v>
      </c>
    </row>
    <row r="48" customFormat="false" ht="15" hidden="false" customHeight="false" outlineLevel="0" collapsed="false">
      <c r="A48" s="0" t="n">
        <f aca="false">A47+1</f>
        <v>12</v>
      </c>
      <c r="B48" s="0" t="n">
        <f aca="false">B47+$C$32</f>
        <v>0.70872</v>
      </c>
      <c r="C48" s="1" t="n">
        <f aca="false">1+(B48^2/$C$31)</f>
        <v>1.05022840384</v>
      </c>
      <c r="D48" s="1" t="n">
        <f aca="false">C48^((($C$31+1)/2)*-1)</f>
        <v>0.763729069415588</v>
      </c>
      <c r="E48" s="1" t="n">
        <f aca="false">EXP(GAMMALN(($C$31+1)/2))/( (($C$31*PI())^0.5)*EXP(GAMMALN(($C$31/2))) )</f>
        <v>0.389108383966031</v>
      </c>
      <c r="F48" s="10" t="n">
        <f aca="false">D48*E48</f>
        <v>0.29717338398818</v>
      </c>
      <c r="G48" s="0" t="n">
        <v>2</v>
      </c>
      <c r="H48" s="3" t="n">
        <f aca="false">F48*G48*$E$32</f>
        <v>0.0117007067055613</v>
      </c>
    </row>
    <row r="49" customFormat="false" ht="15" hidden="false" customHeight="false" outlineLevel="0" collapsed="false">
      <c r="A49" s="0" t="n">
        <f aca="false">A48+1</f>
        <v>13</v>
      </c>
      <c r="B49" s="0" t="n">
        <f aca="false">B48+$C$32</f>
        <v>0.76778</v>
      </c>
      <c r="C49" s="1" t="n">
        <f aca="false">1+(B49^2/$C$31)</f>
        <v>1.05894861284</v>
      </c>
      <c r="D49" s="1" t="n">
        <f aca="false">C49^((($C$31+1)/2)*-1)</f>
        <v>0.729773565894058</v>
      </c>
      <c r="E49" s="1" t="n">
        <f aca="false">EXP(GAMMALN(($C$31+1)/2))/( (($C$31*PI())^0.5)*EXP(GAMMALN(($C$31/2))) )</f>
        <v>0.389108383966031</v>
      </c>
      <c r="F49" s="10" t="n">
        <f aca="false">D49*E49</f>
        <v>0.283961012886165</v>
      </c>
      <c r="G49" s="0" t="n">
        <v>4</v>
      </c>
      <c r="H49" s="3" t="n">
        <f aca="false">F49*G49*$E$32</f>
        <v>0.0223609832280758</v>
      </c>
    </row>
    <row r="50" customFormat="false" ht="15" hidden="false" customHeight="false" outlineLevel="0" collapsed="false">
      <c r="A50" s="0" t="n">
        <f aca="false">A49+1</f>
        <v>14</v>
      </c>
      <c r="B50" s="0" t="n">
        <f aca="false">B49+$C$32</f>
        <v>0.82684</v>
      </c>
      <c r="C50" s="1" t="n">
        <f aca="false">1+(B50^2/$C$31)</f>
        <v>1.06836643856</v>
      </c>
      <c r="D50" s="1" t="n">
        <f aca="false">C50^((($C$31+1)/2)*-1)</f>
        <v>0.695086250791926</v>
      </c>
      <c r="E50" s="1" t="n">
        <f aca="false">EXP(GAMMALN(($C$31+1)/2))/( (($C$31*PI())^0.5)*EXP(GAMMALN(($C$31/2))) )</f>
        <v>0.389108383966031</v>
      </c>
      <c r="F50" s="10" t="n">
        <f aca="false">D50*E50</f>
        <v>0.270463887762654</v>
      </c>
      <c r="G50" s="0" t="n">
        <v>2</v>
      </c>
      <c r="H50" s="3" t="n">
        <f aca="false">F50*G50*$E$32</f>
        <v>0.0106490648075082</v>
      </c>
    </row>
    <row r="51" customFormat="false" ht="15" hidden="false" customHeight="false" outlineLevel="0" collapsed="false">
      <c r="A51" s="0" t="n">
        <f aca="false">A50+1</f>
        <v>15</v>
      </c>
      <c r="B51" s="0" t="n">
        <f aca="false">B50+$C$32</f>
        <v>0.8859</v>
      </c>
      <c r="C51" s="1" t="n">
        <f aca="false">1+(B51^2/$C$31)</f>
        <v>1.078481881</v>
      </c>
      <c r="D51" s="1" t="n">
        <f aca="false">C51^((($C$31+1)/2)*-1)</f>
        <v>0.659977770319631</v>
      </c>
      <c r="E51" s="1" t="n">
        <f aca="false">EXP(GAMMALN(($C$31+1)/2))/( (($C$31*PI())^0.5)*EXP(GAMMALN(($C$31/2))) )</f>
        <v>0.389108383966031</v>
      </c>
      <c r="F51" s="10" t="n">
        <f aca="false">D51*E51</f>
        <v>0.256802883662576</v>
      </c>
      <c r="G51" s="0" t="n">
        <v>4</v>
      </c>
      <c r="H51" s="3" t="n">
        <f aca="false">F51*G51*$E$32</f>
        <v>0.0202223710788157</v>
      </c>
    </row>
    <row r="52" customFormat="false" ht="15" hidden="false" customHeight="false" outlineLevel="0" collapsed="false">
      <c r="A52" s="0" t="n">
        <f aca="false">A51+1</f>
        <v>16</v>
      </c>
      <c r="B52" s="0" t="n">
        <f aca="false">B51+$C$32</f>
        <v>0.94496</v>
      </c>
      <c r="C52" s="1" t="n">
        <f aca="false">1+(B52^2/$C$31)</f>
        <v>1.08929494016</v>
      </c>
      <c r="D52" s="1" t="n">
        <f aca="false">C52^((($C$31+1)/2)*-1)</f>
        <v>0.624740736557754</v>
      </c>
      <c r="E52" s="1" t="n">
        <f aca="false">EXP(GAMMALN(($C$31+1)/2))/( (($C$31*PI())^0.5)*EXP(GAMMALN(($C$31/2))) )</f>
        <v>0.389108383966031</v>
      </c>
      <c r="F52" s="10" t="n">
        <f aca="false">D52*E52</f>
        <v>0.243091858399736</v>
      </c>
      <c r="G52" s="0" t="n">
        <v>2</v>
      </c>
      <c r="H52" s="3" t="n">
        <f aca="false">F52*G52*$E$32</f>
        <v>0.00957133677139226</v>
      </c>
    </row>
    <row r="53" customFormat="false" ht="15" hidden="false" customHeight="false" outlineLevel="0" collapsed="false">
      <c r="A53" s="0" t="n">
        <f aca="false">A52+1</f>
        <v>17</v>
      </c>
      <c r="B53" s="0" t="n">
        <f aca="false">B52+$C$32</f>
        <v>1.00402</v>
      </c>
      <c r="C53" s="1" t="n">
        <f aca="false">1+(B53^2/$C$31)</f>
        <v>1.10080561604</v>
      </c>
      <c r="D53" s="1" t="n">
        <f aca="false">C53^((($C$31+1)/2)*-1)</f>
        <v>0.589646193020604</v>
      </c>
      <c r="E53" s="1" t="n">
        <f aca="false">EXP(GAMMALN(($C$31+1)/2))/( (($C$31*PI())^0.5)*EXP(GAMMALN(($C$31/2))) )</f>
        <v>0.389108383966031</v>
      </c>
      <c r="F53" s="10" t="n">
        <f aca="false">D53*E53</f>
        <v>0.22943627727797</v>
      </c>
      <c r="G53" s="0" t="n">
        <v>4</v>
      </c>
      <c r="H53" s="3" t="n">
        <f aca="false">F53*G53*$E$32</f>
        <v>0.0180673420480492</v>
      </c>
    </row>
    <row r="54" customFormat="false" ht="15" hidden="false" customHeight="false" outlineLevel="0" collapsed="false">
      <c r="A54" s="0" t="n">
        <f aca="false">A53+1</f>
        <v>18</v>
      </c>
      <c r="B54" s="0" t="n">
        <f aca="false">B53+$C$32</f>
        <v>1.06308</v>
      </c>
      <c r="C54" s="1" t="n">
        <f aca="false">1+(B54^2/$C$31)</f>
        <v>1.11301390864</v>
      </c>
      <c r="D54" s="1" t="n">
        <f aca="false">C54^((($C$31+1)/2)*-1)</f>
        <v>0.554940916250086</v>
      </c>
      <c r="E54" s="1" t="n">
        <f aca="false">EXP(GAMMALN(($C$31+1)/2))/( (($C$31*PI())^0.5)*EXP(GAMMALN(($C$31/2))) )</f>
        <v>0.389108383966031</v>
      </c>
      <c r="F54" s="10" t="n">
        <f aca="false">D54*E54</f>
        <v>0.2159321631187</v>
      </c>
      <c r="G54" s="0" t="n">
        <v>2</v>
      </c>
      <c r="H54" s="3" t="n">
        <f aca="false">F54*G54*$E$32</f>
        <v>0.00850196903586027</v>
      </c>
    </row>
    <row r="55" customFormat="false" ht="15" hidden="false" customHeight="false" outlineLevel="0" collapsed="false">
      <c r="A55" s="0" t="n">
        <f aca="false">A54+1</f>
        <v>19</v>
      </c>
      <c r="B55" s="0" t="n">
        <f aca="false">B54+$C$32</f>
        <v>1.12214</v>
      </c>
      <c r="C55" s="1" t="n">
        <f aca="false">1+(B55^2/$C$31)</f>
        <v>1.12591981796</v>
      </c>
      <c r="D55" s="1" t="n">
        <f aca="false">C55^((($C$31+1)/2)*-1)</f>
        <v>0.520845541542727</v>
      </c>
      <c r="E55" s="1" t="n">
        <f aca="false">EXP(GAMMALN(($C$31+1)/2))/( (($C$31*PI())^0.5)*EXP(GAMMALN(($C$31/2))) )</f>
        <v>0.389108383966031</v>
      </c>
      <c r="F55" s="10" t="n">
        <f aca="false">D55*E55</f>
        <v>0.202665366965603</v>
      </c>
      <c r="G55" s="0" t="n">
        <v>4</v>
      </c>
      <c r="H55" s="3" t="n">
        <f aca="false">F55*G55*$E$32</f>
        <v>0.015959222097318</v>
      </c>
    </row>
    <row r="56" customFormat="false" ht="15" hidden="false" customHeight="false" outlineLevel="0" collapsed="false">
      <c r="A56" s="0" t="n">
        <f aca="false">A55+1</f>
        <v>20</v>
      </c>
      <c r="B56" s="0" t="n">
        <f aca="false">B55+$C$32</f>
        <v>1.1812</v>
      </c>
      <c r="C56" s="1" t="n">
        <f aca="false">1+(B56^2/$C$31)</f>
        <v>1.139523344</v>
      </c>
      <c r="D56" s="1" t="n">
        <f aca="false">C56^((($C$31+1)/2)*-1)</f>
        <v>0.487553473077475</v>
      </c>
      <c r="E56" s="1" t="n">
        <f aca="false">EXP(GAMMALN(($C$31+1)/2))/( (($C$31*PI())^0.5)*EXP(GAMMALN(($C$31/2))) )</f>
        <v>0.389108383966031</v>
      </c>
      <c r="F56" s="10" t="n">
        <f aca="false">D56*E56</f>
        <v>0.189711144006202</v>
      </c>
      <c r="G56" s="0" t="n">
        <v>1</v>
      </c>
      <c r="H56" s="3" t="n">
        <f aca="false">F56*G56*$E$32</f>
        <v>0.0037347800550021</v>
      </c>
    </row>
    <row r="58" customFormat="false" ht="15" hidden="false" customHeight="false" outlineLevel="0" collapsed="false">
      <c r="C58" s="11" t="n">
        <f aca="false">SUM(C36:C56)</f>
        <v>22.0010799932</v>
      </c>
      <c r="D58" s="1" t="n">
        <f aca="false">SUM(D36:D56)</f>
        <v>16.7358851483588</v>
      </c>
      <c r="G58" s="3" t="s">
        <v>13</v>
      </c>
      <c r="H58" s="3" t="n">
        <f aca="false">SUM(H36:H56)</f>
        <v>0.367573405152552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8"/>
  <sheetViews>
    <sheetView showFormulas="false" showGridLines="true" showRowColHeaders="true" showZeros="true" rightToLeft="false" tabSelected="true" showOutlineSymbols="true" defaultGridColor="true" view="normal" topLeftCell="A28" colorId="64" zoomScale="115" zoomScaleNormal="115" zoomScalePageLayoutView="100" workbookViewId="0">
      <selection pane="topLeft" activeCell="C32" activeCellId="0" sqref="C32"/>
    </sheetView>
  </sheetViews>
  <sheetFormatPr defaultColWidth="10.55078125" defaultRowHeight="15" zeroHeight="false" outlineLevelRow="0" outlineLevelCol="0"/>
  <cols>
    <col collapsed="false" customWidth="true" hidden="false" outlineLevel="0" max="2" min="2" style="0" width="9.16"/>
    <col collapsed="false" customWidth="true" hidden="false" outlineLevel="0" max="4" min="4" style="0" width="8.5"/>
    <col collapsed="false" customWidth="true" hidden="false" outlineLevel="0" max="5" min="5" style="0" width="18.5"/>
    <col collapsed="false" customWidth="true" hidden="false" outlineLevel="0" max="6" min="6" style="0" width="16.66"/>
    <col collapsed="false" customWidth="true" hidden="false" outlineLevel="0" max="8" min="8" style="0" width="23.83"/>
    <col collapsed="false" customWidth="true" hidden="false" outlineLevel="0" max="9" min="9" style="0" width="19.83"/>
  </cols>
  <sheetData>
    <row r="1" customFormat="false" ht="15" hidden="false" customHeight="false" outlineLevel="0" collapsed="false">
      <c r="A1" s="0" t="s">
        <v>18</v>
      </c>
      <c r="B1" s="8" t="s">
        <v>1</v>
      </c>
      <c r="C1" s="8" t="n">
        <v>0</v>
      </c>
    </row>
    <row r="2" customFormat="false" ht="15" hidden="false" customHeight="false" outlineLevel="0" collapsed="false">
      <c r="A2" s="0" t="s">
        <v>19</v>
      </c>
      <c r="B2" s="8" t="s">
        <v>8</v>
      </c>
      <c r="C2" s="8" t="n">
        <v>2.75</v>
      </c>
      <c r="D2" s="4"/>
      <c r="E2" s="4"/>
      <c r="F2" s="4"/>
    </row>
    <row r="3" customFormat="false" ht="15" hidden="false" customHeight="false" outlineLevel="0" collapsed="false">
      <c r="B3" s="8" t="s">
        <v>4</v>
      </c>
      <c r="C3" s="8" t="n">
        <v>10</v>
      </c>
      <c r="D3" s="4"/>
      <c r="E3" s="4"/>
      <c r="F3" s="4"/>
    </row>
    <row r="4" customFormat="false" ht="15" hidden="false" customHeight="false" outlineLevel="0" collapsed="false">
      <c r="B4" s="8" t="s">
        <v>36</v>
      </c>
      <c r="C4" s="8" t="n">
        <v>30</v>
      </c>
    </row>
    <row r="5" customFormat="false" ht="15" hidden="false" customHeight="false" outlineLevel="0" collapsed="false">
      <c r="B5" s="0" t="s">
        <v>20</v>
      </c>
      <c r="C5" s="0" t="n">
        <f aca="false">(C2-C1)/(C3)</f>
        <v>0.275</v>
      </c>
      <c r="D5" s="9" t="s">
        <v>21</v>
      </c>
      <c r="E5" s="0" t="n">
        <f aca="false">(C2-C1)/(3*C3)</f>
        <v>0.0916666666666667</v>
      </c>
    </row>
    <row r="6" customFormat="false" ht="15" hidden="false" customHeight="false" outlineLevel="0" collapsed="false">
      <c r="D6" s="0" t="n">
        <f aca="false">EXP(GAMMALN(5))</f>
        <v>24</v>
      </c>
    </row>
    <row r="7" customFormat="false" ht="15" hidden="false" customHeight="false" outlineLevel="0" collapsed="false">
      <c r="B7" s="0" t="s">
        <v>8</v>
      </c>
      <c r="C7" s="0" t="s">
        <v>37</v>
      </c>
    </row>
    <row r="8" customFormat="false" ht="15" hidden="false" customHeight="false" outlineLevel="0" collapsed="false">
      <c r="C8" s="1" t="s">
        <v>38</v>
      </c>
      <c r="D8" s="1" t="s">
        <v>39</v>
      </c>
      <c r="E8" s="1" t="s">
        <v>40</v>
      </c>
      <c r="F8" s="10" t="s">
        <v>41</v>
      </c>
      <c r="G8" s="1" t="s">
        <v>28</v>
      </c>
      <c r="H8" s="1" t="s">
        <v>42</v>
      </c>
    </row>
    <row r="9" customFormat="false" ht="15" hidden="false" customHeight="false" outlineLevel="0" collapsed="false">
      <c r="A9" s="0" t="n">
        <v>0</v>
      </c>
      <c r="B9" s="8" t="n">
        <v>0</v>
      </c>
      <c r="C9" s="1" t="n">
        <f aca="false">1+(B9^2/$C$4)</f>
        <v>1</v>
      </c>
      <c r="D9" s="1" t="n">
        <f aca="false">C9^((($C$4+1)/2)*-1)</f>
        <v>1</v>
      </c>
      <c r="E9" s="1" t="n">
        <f aca="false">EXP(GAMMALN(($C$4+1)/2))/( (($C$4*PI())^0.5)*EXP(GAMMALN(($C$4/2))) )</f>
        <v>0.395632184894098</v>
      </c>
      <c r="F9" s="10" t="n">
        <f aca="false">D9*E9</f>
        <v>0.395632184894098</v>
      </c>
      <c r="G9" s="4" t="n">
        <v>1</v>
      </c>
      <c r="H9" s="3" t="n">
        <f aca="false">F9*G9*$E$5</f>
        <v>0.0362662836152924</v>
      </c>
    </row>
    <row r="10" customFormat="false" ht="15" hidden="false" customHeight="false" outlineLevel="0" collapsed="false">
      <c r="A10" s="0" t="n">
        <f aca="false">A9+1</f>
        <v>1</v>
      </c>
      <c r="B10" s="0" t="n">
        <f aca="false">B9+$C$5</f>
        <v>0.275</v>
      </c>
      <c r="C10" s="1" t="n">
        <f aca="false">1+(B10^2/$C$4)</f>
        <v>1.00252083333333</v>
      </c>
      <c r="D10" s="1" t="n">
        <f aca="false">C10^((($C$4+1)/2)*-1)</f>
        <v>0.961727866761723</v>
      </c>
      <c r="E10" s="1" t="n">
        <f aca="false">EXP(GAMMALN(($C$4+1)/2))/( (($C$4*PI())^0.5)*EXP(GAMMALN(($C$4/2))) )</f>
        <v>0.395632184894098</v>
      </c>
      <c r="F10" s="10" t="n">
        <f aca="false">D10*E10</f>
        <v>0.380490497200481</v>
      </c>
      <c r="G10" s="0" t="n">
        <v>4</v>
      </c>
      <c r="H10" s="0" t="n">
        <f aca="false">F10*G10*$E$5</f>
        <v>0.139513182306843</v>
      </c>
    </row>
    <row r="11" customFormat="false" ht="15" hidden="false" customHeight="false" outlineLevel="0" collapsed="false">
      <c r="A11" s="0" t="n">
        <f aca="false">A10+1</f>
        <v>2</v>
      </c>
      <c r="B11" s="0" t="n">
        <f aca="false">B10+$C$5</f>
        <v>0.55</v>
      </c>
      <c r="C11" s="1" t="n">
        <f aca="false">1+(B11^2/$C$4)</f>
        <v>1.01008333333333</v>
      </c>
      <c r="D11" s="1" t="n">
        <f aca="false">C11^((($C$4+1)/2)*-1)</f>
        <v>0.855979413006371</v>
      </c>
      <c r="E11" s="1" t="n">
        <f aca="false">EXP(GAMMALN(($C$4+1)/2))/( (($C$4*PI())^0.5)*EXP(GAMMALN(($C$4/2))) )</f>
        <v>0.395632184894098</v>
      </c>
      <c r="F11" s="10" t="n">
        <f aca="false">D11*E11</f>
        <v>0.338653005392078</v>
      </c>
      <c r="G11" s="0" t="n">
        <v>2</v>
      </c>
      <c r="H11" s="0" t="n">
        <f aca="false">F11*G11*$E$5</f>
        <v>0.062086384321881</v>
      </c>
    </row>
    <row r="12" customFormat="false" ht="15" hidden="false" customHeight="false" outlineLevel="0" collapsed="false">
      <c r="A12" s="0" t="n">
        <f aca="false">A11+1</f>
        <v>3</v>
      </c>
      <c r="B12" s="0" t="n">
        <f aca="false">B11+$C$5</f>
        <v>0.825</v>
      </c>
      <c r="C12" s="1" t="n">
        <f aca="false">1+(B12^2/$C$4)</f>
        <v>1.0226875</v>
      </c>
      <c r="D12" s="1" t="n">
        <f aca="false">C12^((($C$4+1)/2)*-1)</f>
        <v>0.706292037472325</v>
      </c>
      <c r="E12" s="1" t="n">
        <f aca="false">EXP(GAMMALN(($C$4+1)/2))/( (($C$4*PI())^0.5)*EXP(GAMMALN(($C$4/2))) )</f>
        <v>0.395632184894098</v>
      </c>
      <c r="F12" s="10" t="n">
        <f aca="false">D12*E12</f>
        <v>0.27943186195848</v>
      </c>
      <c r="G12" s="0" t="n">
        <v>4</v>
      </c>
      <c r="H12" s="0" t="n">
        <f aca="false">F12*G12*$E$5</f>
        <v>0.102458349384776</v>
      </c>
    </row>
    <row r="13" customFormat="false" ht="15" hidden="false" customHeight="false" outlineLevel="0" collapsed="false">
      <c r="A13" s="0" t="n">
        <f aca="false">A12+1</f>
        <v>4</v>
      </c>
      <c r="B13" s="0" t="n">
        <f aca="false">B12+$C$5</f>
        <v>1.1</v>
      </c>
      <c r="C13" s="1" t="n">
        <f aca="false">1+(B13^2/$C$4)</f>
        <v>1.04033333333333</v>
      </c>
      <c r="D13" s="1" t="n">
        <f aca="false">C13^((($C$4+1)/2)*-1)</f>
        <v>0.541783823563335</v>
      </c>
      <c r="E13" s="1" t="n">
        <f aca="false">EXP(GAMMALN(($C$4+1)/2))/( (($C$4*PI())^0.5)*EXP(GAMMALN(($C$4/2))) )</f>
        <v>0.395632184894098</v>
      </c>
      <c r="F13" s="10" t="n">
        <f aca="false">D13*E13</f>
        <v>0.214347117856641</v>
      </c>
      <c r="G13" s="0" t="n">
        <v>2</v>
      </c>
      <c r="H13" s="0" t="n">
        <f aca="false">F13*G13*$E$5</f>
        <v>0.0392969716070508</v>
      </c>
    </row>
    <row r="14" customFormat="false" ht="15" hidden="false" customHeight="false" outlineLevel="0" collapsed="false">
      <c r="A14" s="0" t="n">
        <f aca="false">A13+1</f>
        <v>5</v>
      </c>
      <c r="B14" s="0" t="n">
        <f aca="false">B13+$C$5</f>
        <v>1.375</v>
      </c>
      <c r="C14" s="1" t="n">
        <f aca="false">1+(B14^2/$C$4)</f>
        <v>1.06302083333333</v>
      </c>
      <c r="D14" s="1" t="n">
        <f aca="false">C14^((($C$4+1)/2)*-1)</f>
        <v>0.387795238023359</v>
      </c>
      <c r="E14" s="1" t="n">
        <f aca="false">EXP(GAMMALN(($C$4+1)/2))/( (($C$4*PI())^0.5)*EXP(GAMMALN(($C$4/2))) )</f>
        <v>0.395632184894098</v>
      </c>
      <c r="F14" s="10" t="n">
        <f aca="false">D14*E14</f>
        <v>0.153424277310709</v>
      </c>
      <c r="G14" s="0" t="n">
        <v>4</v>
      </c>
      <c r="H14" s="0" t="n">
        <f aca="false">F14*G14*$E$5</f>
        <v>0.0562555683472598</v>
      </c>
    </row>
    <row r="15" customFormat="false" ht="15" hidden="false" customHeight="false" outlineLevel="0" collapsed="false">
      <c r="A15" s="0" t="n">
        <f aca="false">A14+1</f>
        <v>6</v>
      </c>
      <c r="B15" s="0" t="n">
        <f aca="false">B14+$C$5</f>
        <v>1.65</v>
      </c>
      <c r="C15" s="1" t="n">
        <f aca="false">1+(B15^2/$C$4)</f>
        <v>1.09075</v>
      </c>
      <c r="D15" s="1" t="n">
        <f aca="false">C15^((($C$4+1)/2)*-1)</f>
        <v>0.260171106672526</v>
      </c>
      <c r="E15" s="1" t="n">
        <f aca="false">EXP(GAMMALN(($C$4+1)/2))/( (($C$4*PI())^0.5)*EXP(GAMMALN(($C$4/2))) )</f>
        <v>0.395632184894098</v>
      </c>
      <c r="F15" s="10" t="n">
        <f aca="false">D15*E15</f>
        <v>0.102932063379167</v>
      </c>
      <c r="G15" s="0" t="n">
        <v>2</v>
      </c>
      <c r="H15" s="0" t="n">
        <f aca="false">F15*G15*$E$5</f>
        <v>0.0188708782861806</v>
      </c>
    </row>
    <row r="16" customFormat="false" ht="15" hidden="false" customHeight="false" outlineLevel="0" collapsed="false">
      <c r="A16" s="0" t="n">
        <f aca="false">A15+1</f>
        <v>7</v>
      </c>
      <c r="B16" s="0" t="n">
        <f aca="false">B15+$C$5</f>
        <v>1.925</v>
      </c>
      <c r="C16" s="1" t="n">
        <f aca="false">1+(B16^2/$C$4)</f>
        <v>1.12352083333333</v>
      </c>
      <c r="D16" s="1" t="n">
        <f aca="false">C16^((($C$4+1)/2)*-1)</f>
        <v>0.164434327474126</v>
      </c>
      <c r="E16" s="1" t="n">
        <f aca="false">EXP(GAMMALN(($C$4+1)/2))/( (($C$4*PI())^0.5)*EXP(GAMMALN(($C$4/2))) )</f>
        <v>0.395632184894098</v>
      </c>
      <c r="F16" s="10" t="n">
        <f aca="false">D16*E16</f>
        <v>0.06505551225018</v>
      </c>
      <c r="G16" s="0" t="n">
        <v>4</v>
      </c>
      <c r="H16" s="0" t="n">
        <f aca="false">F16*G16*$E$5</f>
        <v>0.023853687825066</v>
      </c>
    </row>
    <row r="17" customFormat="false" ht="15" hidden="false" customHeight="false" outlineLevel="0" collapsed="false">
      <c r="A17" s="0" t="n">
        <f aca="false">A16+1</f>
        <v>8</v>
      </c>
      <c r="B17" s="0" t="n">
        <f aca="false">B16+$C$5</f>
        <v>2.2</v>
      </c>
      <c r="C17" s="1" t="n">
        <f aca="false">1+(B17^2/$C$4)</f>
        <v>1.16133333333333</v>
      </c>
      <c r="D17" s="1" t="n">
        <f aca="false">C17^((($C$4+1)/2)*-1)</f>
        <v>0.0984392236526552</v>
      </c>
      <c r="E17" s="1" t="n">
        <f aca="false">EXP(GAMMALN(($C$4+1)/2))/( (($C$4*PI())^0.5)*EXP(GAMMALN(($C$4/2))) )</f>
        <v>0.395632184894098</v>
      </c>
      <c r="F17" s="10" t="n">
        <f aca="false">D17*E17</f>
        <v>0.0389457251329788</v>
      </c>
      <c r="G17" s="0" t="n">
        <v>2</v>
      </c>
      <c r="H17" s="0" t="n">
        <f aca="false">F17*G17*$E$5</f>
        <v>0.00714004960771278</v>
      </c>
    </row>
    <row r="18" customFormat="false" ht="15" hidden="false" customHeight="false" outlineLevel="0" collapsed="false">
      <c r="A18" s="0" t="n">
        <f aca="false">A17+1</f>
        <v>9</v>
      </c>
      <c r="B18" s="0" t="n">
        <f aca="false">B17+$C$5</f>
        <v>2.475</v>
      </c>
      <c r="C18" s="1" t="n">
        <f aca="false">1+(B18^2/$C$4)</f>
        <v>1.2041875</v>
      </c>
      <c r="D18" s="1" t="n">
        <f aca="false">C18^((($C$4+1)/2)*-1)</f>
        <v>0.0561359687502259</v>
      </c>
      <c r="E18" s="1" t="n">
        <f aca="false">EXP(GAMMALN(($C$4+1)/2))/( (($C$4*PI())^0.5)*EXP(GAMMALN(($C$4/2))) )</f>
        <v>0.395632184894098</v>
      </c>
      <c r="F18" s="10" t="n">
        <f aca="false">D18*E18</f>
        <v>0.0222091959677987</v>
      </c>
      <c r="G18" s="0" t="n">
        <v>4</v>
      </c>
      <c r="H18" s="0" t="n">
        <f aca="false">F18*G18*$E$5</f>
        <v>0.00814337185485952</v>
      </c>
    </row>
    <row r="19" customFormat="false" ht="15" hidden="false" customHeight="false" outlineLevel="0" collapsed="false">
      <c r="A19" s="0" t="n">
        <f aca="false">A18+1</f>
        <v>10</v>
      </c>
      <c r="B19" s="8" t="n">
        <f aca="false">B18+$C$5</f>
        <v>2.75</v>
      </c>
      <c r="C19" s="1" t="n">
        <f aca="false">1+(B19^2/$C$4)</f>
        <v>1.25208333333333</v>
      </c>
      <c r="D19" s="1" t="n">
        <f aca="false">C19^((($C$4+1)/2)*-1)</f>
        <v>0.03066795824462</v>
      </c>
      <c r="E19" s="1" t="n">
        <f aca="false">EXP(GAMMALN(($C$4+1)/2))/( (($C$4*PI())^0.5)*EXP(GAMMALN(($C$4/2))) )</f>
        <v>0.395632184894098</v>
      </c>
      <c r="F19" s="10" t="n">
        <f aca="false">D19*E19</f>
        <v>0.01213323132656</v>
      </c>
      <c r="G19" s="4" t="n">
        <v>1</v>
      </c>
      <c r="H19" s="3" t="n">
        <f aca="false">F19*G19*$E$5</f>
        <v>0.00111221287160133</v>
      </c>
    </row>
    <row r="21" customFormat="false" ht="15" hidden="false" customHeight="false" outlineLevel="0" collapsed="false">
      <c r="C21" s="11" t="n">
        <f aca="false">SUM(C9:C19)</f>
        <v>11.9705208333333</v>
      </c>
      <c r="D21" s="1" t="n">
        <f aca="false">SUM(D9:D19)</f>
        <v>5.06342696362127</v>
      </c>
      <c r="G21" s="0" t="s">
        <v>13</v>
      </c>
      <c r="H21" s="0" t="n">
        <f aca="false">SUM(H9:H19)</f>
        <v>0.494996940028523</v>
      </c>
    </row>
    <row r="22" customFormat="false" ht="15" hidden="false" customHeight="false" outlineLevel="0" collapsed="false">
      <c r="G22" s="0" t="s">
        <v>12</v>
      </c>
      <c r="H22" s="0" t="s">
        <v>12</v>
      </c>
    </row>
    <row r="24" customFormat="false" ht="15" hidden="false" customHeight="false" outlineLevel="0" collapsed="false">
      <c r="G24" s="0" t="s">
        <v>34</v>
      </c>
      <c r="H24" s="0" t="n">
        <v>1E-005</v>
      </c>
    </row>
    <row r="25" customFormat="false" ht="15" hidden="false" customHeight="false" outlineLevel="0" collapsed="false">
      <c r="G25" s="0" t="s">
        <v>43</v>
      </c>
      <c r="H25" s="0" t="n">
        <f aca="false">H21</f>
        <v>0.494996940028523</v>
      </c>
      <c r="I25" s="12" t="n">
        <f aca="false">ABS(H26-H25)</f>
        <v>2.91821999515163E-006</v>
      </c>
    </row>
    <row r="26" customFormat="false" ht="15" hidden="false" customHeight="false" outlineLevel="0" collapsed="false">
      <c r="G26" s="0" t="s">
        <v>44</v>
      </c>
      <c r="H26" s="0" t="n">
        <f aca="false">H58</f>
        <v>0.494999858248519</v>
      </c>
    </row>
    <row r="27" customFormat="false" ht="15" hidden="false" customHeight="false" outlineLevel="0" collapsed="false">
      <c r="H27" s="0" t="s">
        <v>12</v>
      </c>
    </row>
    <row r="28" customFormat="false" ht="15" hidden="false" customHeight="false" outlineLevel="0" collapsed="false">
      <c r="B28" s="0" t="s">
        <v>1</v>
      </c>
      <c r="C28" s="0" t="n">
        <v>0</v>
      </c>
    </row>
    <row r="29" customFormat="false" ht="15" hidden="false" customHeight="false" outlineLevel="0" collapsed="false">
      <c r="B29" s="4" t="s">
        <v>8</v>
      </c>
      <c r="C29" s="4" t="n">
        <v>2.75</v>
      </c>
      <c r="D29" s="4"/>
      <c r="E29" s="4"/>
      <c r="F29" s="4"/>
    </row>
    <row r="30" customFormat="false" ht="15" hidden="false" customHeight="false" outlineLevel="0" collapsed="false">
      <c r="B30" s="4" t="s">
        <v>4</v>
      </c>
      <c r="C30" s="4" t="n">
        <v>20</v>
      </c>
      <c r="D30" s="4"/>
      <c r="E30" s="4"/>
      <c r="F30" s="4"/>
    </row>
    <row r="31" customFormat="false" ht="15" hidden="false" customHeight="false" outlineLevel="0" collapsed="false">
      <c r="B31" s="0" t="s">
        <v>36</v>
      </c>
      <c r="C31" s="0" t="n">
        <v>30</v>
      </c>
    </row>
    <row r="32" customFormat="false" ht="15" hidden="false" customHeight="false" outlineLevel="0" collapsed="false">
      <c r="B32" s="0" t="s">
        <v>20</v>
      </c>
      <c r="C32" s="0" t="n">
        <f aca="false">(C29-C28)/(C30)</f>
        <v>0.1375</v>
      </c>
      <c r="D32" s="9" t="s">
        <v>21</v>
      </c>
      <c r="E32" s="0" t="n">
        <f aca="false">(C29-C28)/(3*C30)</f>
        <v>0.0458333333333333</v>
      </c>
    </row>
    <row r="33" customFormat="false" ht="15" hidden="false" customHeight="false" outlineLevel="0" collapsed="false">
      <c r="D33" s="0" t="n">
        <f aca="false">EXP(GAMMALN(5))</f>
        <v>24</v>
      </c>
    </row>
    <row r="34" customFormat="false" ht="15" hidden="false" customHeight="false" outlineLevel="0" collapsed="false">
      <c r="B34" s="0" t="s">
        <v>8</v>
      </c>
      <c r="C34" s="0" t="s">
        <v>37</v>
      </c>
    </row>
    <row r="35" customFormat="false" ht="15" hidden="false" customHeight="false" outlineLevel="0" collapsed="false">
      <c r="C35" s="1" t="s">
        <v>38</v>
      </c>
      <c r="D35" s="1" t="s">
        <v>39</v>
      </c>
      <c r="E35" s="1" t="s">
        <v>40</v>
      </c>
      <c r="F35" s="10" t="s">
        <v>41</v>
      </c>
    </row>
    <row r="36" customFormat="false" ht="15" hidden="false" customHeight="false" outlineLevel="0" collapsed="false">
      <c r="A36" s="0" t="n">
        <v>0</v>
      </c>
      <c r="B36" s="0" t="n">
        <v>0</v>
      </c>
      <c r="C36" s="1" t="n">
        <f aca="false">1+(B36^2/$C$31)</f>
        <v>1</v>
      </c>
      <c r="D36" s="1" t="n">
        <f aca="false">C36^((($C$31+1)/2)*-1)</f>
        <v>1</v>
      </c>
      <c r="E36" s="1" t="n">
        <f aca="false">EXP(GAMMALN(($C$31+1)/2))/( (($C$31*PI())^0.5)*EXP(GAMMALN(($C$31/2))) )</f>
        <v>0.395632184894098</v>
      </c>
      <c r="F36" s="10" t="n">
        <f aca="false">D36*E36</f>
        <v>0.395632184894098</v>
      </c>
      <c r="G36" s="4" t="n">
        <v>1</v>
      </c>
      <c r="H36" s="3" t="n">
        <f aca="false">F36*G36*$E$32</f>
        <v>0.0181331418076462</v>
      </c>
    </row>
    <row r="37" customFormat="false" ht="15" hidden="false" customHeight="false" outlineLevel="0" collapsed="false">
      <c r="A37" s="0" t="n">
        <f aca="false">A36+1</f>
        <v>1</v>
      </c>
      <c r="B37" s="0" t="n">
        <f aca="false">B36+$C$32</f>
        <v>0.1375</v>
      </c>
      <c r="C37" s="1" t="n">
        <f aca="false">1+(B37^2/$C$31)</f>
        <v>1.00063020833333</v>
      </c>
      <c r="D37" s="1" t="n">
        <f aca="false">C37^((($C$31+1)/2)*-1)</f>
        <v>0.990282371831891</v>
      </c>
      <c r="E37" s="1" t="n">
        <f aca="false">EXP(GAMMALN(($C$31+1)/2))/( (($C$31*PI())^0.5)*EXP(GAMMALN(($C$31/2))) )</f>
        <v>0.395632184894098</v>
      </c>
      <c r="F37" s="10" t="n">
        <f aca="false">D37*E37</f>
        <v>0.391787578429961</v>
      </c>
      <c r="G37" s="0" t="n">
        <v>4</v>
      </c>
      <c r="H37" s="3" t="n">
        <f aca="false">F37*G37*$E$32</f>
        <v>0.0718277227121595</v>
      </c>
    </row>
    <row r="38" customFormat="false" ht="15" hidden="false" customHeight="false" outlineLevel="0" collapsed="false">
      <c r="A38" s="0" t="n">
        <f aca="false">A37+1</f>
        <v>2</v>
      </c>
      <c r="B38" s="0" t="n">
        <f aca="false">B37+$C$32</f>
        <v>0.275</v>
      </c>
      <c r="C38" s="1" t="n">
        <f aca="false">1+(B38^2/$C$31)</f>
        <v>1.00252083333333</v>
      </c>
      <c r="D38" s="1" t="n">
        <f aca="false">C38^((($C$31+1)/2)*-1)</f>
        <v>0.961727866761723</v>
      </c>
      <c r="E38" s="1" t="n">
        <f aca="false">EXP(GAMMALN(($C$31+1)/2))/( (($C$31*PI())^0.5)*EXP(GAMMALN(($C$31/2))) )</f>
        <v>0.395632184894098</v>
      </c>
      <c r="F38" s="10" t="n">
        <f aca="false">D38*E38</f>
        <v>0.380490497200481</v>
      </c>
      <c r="G38" s="0" t="n">
        <v>2</v>
      </c>
      <c r="H38" s="3" t="n">
        <f aca="false">F38*G38*$E$32</f>
        <v>0.0348782955767107</v>
      </c>
    </row>
    <row r="39" customFormat="false" ht="15" hidden="false" customHeight="false" outlineLevel="0" collapsed="false">
      <c r="A39" s="0" t="n">
        <f aca="false">A38+1</f>
        <v>3</v>
      </c>
      <c r="B39" s="0" t="n">
        <f aca="false">B38+$C$32</f>
        <v>0.4125</v>
      </c>
      <c r="C39" s="1" t="n">
        <f aca="false">1+(B39^2/$C$31)</f>
        <v>1.005671875</v>
      </c>
      <c r="D39" s="1" t="n">
        <f aca="false">C39^((($C$31+1)/2)*-1)</f>
        <v>0.916067082831024</v>
      </c>
      <c r="E39" s="1" t="n">
        <f aca="false">EXP(GAMMALN(($C$31+1)/2))/( (($C$31*PI())^0.5)*EXP(GAMMALN(($C$31/2))) )</f>
        <v>0.395632184894098</v>
      </c>
      <c r="F39" s="10" t="n">
        <f aca="false">D39*E39</f>
        <v>0.362425621490001</v>
      </c>
      <c r="G39" s="0" t="n">
        <v>4</v>
      </c>
      <c r="H39" s="3" t="n">
        <f aca="false">F39*G39*$E$32</f>
        <v>0.0664446972731669</v>
      </c>
    </row>
    <row r="40" customFormat="false" ht="15" hidden="false" customHeight="false" outlineLevel="0" collapsed="false">
      <c r="A40" s="0" t="n">
        <f aca="false">A39+1</f>
        <v>4</v>
      </c>
      <c r="B40" s="0" t="n">
        <f aca="false">B39+$C$32</f>
        <v>0.55</v>
      </c>
      <c r="C40" s="1" t="n">
        <f aca="false">1+(B40^2/$C$31)</f>
        <v>1.01008333333333</v>
      </c>
      <c r="D40" s="1" t="n">
        <f aca="false">C40^((($C$31+1)/2)*-1)</f>
        <v>0.855979413006371</v>
      </c>
      <c r="E40" s="1" t="n">
        <f aca="false">EXP(GAMMALN(($C$31+1)/2))/( (($C$31*PI())^0.5)*EXP(GAMMALN(($C$31/2))) )</f>
        <v>0.395632184894098</v>
      </c>
      <c r="F40" s="10" t="n">
        <f aca="false">D40*E40</f>
        <v>0.338653005392078</v>
      </c>
      <c r="G40" s="0" t="n">
        <v>2</v>
      </c>
      <c r="H40" s="3" t="n">
        <f aca="false">F40*G40*$E$32</f>
        <v>0.0310431921609405</v>
      </c>
    </row>
    <row r="41" customFormat="false" ht="15" hidden="false" customHeight="false" outlineLevel="0" collapsed="false">
      <c r="A41" s="0" t="n">
        <f aca="false">A40+1</f>
        <v>5</v>
      </c>
      <c r="B41" s="0" t="n">
        <f aca="false">B40+$C$32</f>
        <v>0.6875</v>
      </c>
      <c r="C41" s="1" t="n">
        <f aca="false">1+(B41^2/$C$31)</f>
        <v>1.01575520833333</v>
      </c>
      <c r="D41" s="1" t="n">
        <f aca="false">C41^((($C$31+1)/2)*-1)</f>
        <v>0.784819170786056</v>
      </c>
      <c r="E41" s="1" t="n">
        <f aca="false">EXP(GAMMALN(($C$31+1)/2))/( (($C$31*PI())^0.5)*EXP(GAMMALN(($C$31/2))) )</f>
        <v>0.395632184894098</v>
      </c>
      <c r="F41" s="10" t="n">
        <f aca="false">D41*E41</f>
        <v>0.310499723284862</v>
      </c>
      <c r="G41" s="0" t="n">
        <v>4</v>
      </c>
      <c r="H41" s="3" t="n">
        <f aca="false">F41*G41*$E$32</f>
        <v>0.0569249492688913</v>
      </c>
    </row>
    <row r="42" customFormat="false" ht="15" hidden="false" customHeight="false" outlineLevel="0" collapsed="false">
      <c r="A42" s="0" t="n">
        <f aca="false">A41+1</f>
        <v>6</v>
      </c>
      <c r="B42" s="0" t="n">
        <f aca="false">B41+$C$32</f>
        <v>0.825</v>
      </c>
      <c r="C42" s="1" t="n">
        <f aca="false">1+(B42^2/$C$31)</f>
        <v>1.0226875</v>
      </c>
      <c r="D42" s="1" t="n">
        <f aca="false">C42^((($C$31+1)/2)*-1)</f>
        <v>0.706292037472325</v>
      </c>
      <c r="E42" s="1" t="n">
        <f aca="false">EXP(GAMMALN(($C$31+1)/2))/( (($C$31*PI())^0.5)*EXP(GAMMALN(($C$31/2))) )</f>
        <v>0.395632184894098</v>
      </c>
      <c r="F42" s="10" t="n">
        <f aca="false">D42*E42</f>
        <v>0.27943186195848</v>
      </c>
      <c r="G42" s="0" t="n">
        <v>2</v>
      </c>
      <c r="H42" s="3" t="n">
        <f aca="false">F42*G42*$E$32</f>
        <v>0.025614587346194</v>
      </c>
    </row>
    <row r="43" customFormat="false" ht="15" hidden="false" customHeight="false" outlineLevel="0" collapsed="false">
      <c r="A43" s="0" t="n">
        <f aca="false">A42+1</f>
        <v>7</v>
      </c>
      <c r="B43" s="0" t="n">
        <f aca="false">B42+$C$32</f>
        <v>0.9625</v>
      </c>
      <c r="C43" s="1" t="n">
        <f aca="false">1+(B43^2/$C$31)</f>
        <v>1.03088020833333</v>
      </c>
      <c r="D43" s="1" t="n">
        <f aca="false">C43^((($C$31+1)/2)*-1)</f>
        <v>0.624126858895197</v>
      </c>
      <c r="E43" s="1" t="n">
        <f aca="false">EXP(GAMMALN(($C$31+1)/2))/( (($C$31*PI())^0.5)*EXP(GAMMALN(($C$31/2))) )</f>
        <v>0.395632184894098</v>
      </c>
      <c r="F43" s="10" t="n">
        <f aca="false">D43*E43</f>
        <v>0.246924672835798</v>
      </c>
      <c r="G43" s="0" t="n">
        <v>4</v>
      </c>
      <c r="H43" s="3" t="n">
        <f aca="false">F43*G43*$E$32</f>
        <v>0.0452695233532296</v>
      </c>
    </row>
    <row r="44" customFormat="false" ht="15" hidden="false" customHeight="false" outlineLevel="0" collapsed="false">
      <c r="A44" s="0" t="n">
        <f aca="false">A43+1</f>
        <v>8</v>
      </c>
      <c r="B44" s="0" t="n">
        <f aca="false">B43+$C$32</f>
        <v>1.1</v>
      </c>
      <c r="C44" s="1" t="n">
        <f aca="false">1+(B44^2/$C$31)</f>
        <v>1.04033333333333</v>
      </c>
      <c r="D44" s="1" t="n">
        <f aca="false">C44^((($C$31+1)/2)*-1)</f>
        <v>0.541783823563335</v>
      </c>
      <c r="E44" s="1" t="n">
        <f aca="false">EXP(GAMMALN(($C$31+1)/2))/( (($C$31*PI())^0.5)*EXP(GAMMALN(($C$31/2))) )</f>
        <v>0.395632184894098</v>
      </c>
      <c r="F44" s="10" t="n">
        <f aca="false">D44*E44</f>
        <v>0.214347117856641</v>
      </c>
      <c r="G44" s="0" t="n">
        <v>2</v>
      </c>
      <c r="H44" s="3" t="n">
        <f aca="false">F44*G44*$E$32</f>
        <v>0.0196484858035254</v>
      </c>
    </row>
    <row r="45" customFormat="false" ht="15" hidden="false" customHeight="false" outlineLevel="0" collapsed="false">
      <c r="A45" s="0" t="n">
        <f aca="false">A44+1</f>
        <v>9</v>
      </c>
      <c r="B45" s="0" t="n">
        <f aca="false">B44+$C$32</f>
        <v>1.2375</v>
      </c>
      <c r="C45" s="1" t="n">
        <f aca="false">1+(B45^2/$C$31)</f>
        <v>1.051046875</v>
      </c>
      <c r="D45" s="1" t="n">
        <f aca="false">C45^((($C$31+1)/2)*-1)</f>
        <v>0.46222951994138</v>
      </c>
      <c r="E45" s="1" t="n">
        <f aca="false">EXP(GAMMALN(($C$31+1)/2))/( (($C$31*PI())^0.5)*EXP(GAMMALN(($C$31/2))) )</f>
        <v>0.395632184894098</v>
      </c>
      <c r="F45" s="10" t="n">
        <f aca="false">D45*E45</f>
        <v>0.182872874896958</v>
      </c>
      <c r="G45" s="0" t="n">
        <v>4</v>
      </c>
      <c r="H45" s="3" t="n">
        <f aca="false">F45*G45*$E$32</f>
        <v>0.033526693731109</v>
      </c>
    </row>
    <row r="46" customFormat="false" ht="15" hidden="false" customHeight="false" outlineLevel="0" collapsed="false">
      <c r="A46" s="0" t="n">
        <f aca="false">A45+1</f>
        <v>10</v>
      </c>
      <c r="B46" s="0" t="n">
        <f aca="false">B45+$C$32</f>
        <v>1.375</v>
      </c>
      <c r="C46" s="1" t="n">
        <f aca="false">1+(B46^2/$C$31)</f>
        <v>1.06302083333333</v>
      </c>
      <c r="D46" s="1" t="n">
        <f aca="false">C46^((($C$31+1)/2)*-1)</f>
        <v>0.387795238023359</v>
      </c>
      <c r="E46" s="1" t="n">
        <f aca="false">EXP(GAMMALN(($C$31+1)/2))/( (($C$31*PI())^0.5)*EXP(GAMMALN(($C$31/2))) )</f>
        <v>0.395632184894098</v>
      </c>
      <c r="F46" s="10" t="n">
        <f aca="false">D46*E46</f>
        <v>0.153424277310709</v>
      </c>
      <c r="G46" s="0" t="n">
        <v>2</v>
      </c>
      <c r="H46" s="3" t="n">
        <f aca="false">F46*G46*$E$32</f>
        <v>0.014063892086815</v>
      </c>
    </row>
    <row r="47" customFormat="false" ht="15" hidden="false" customHeight="false" outlineLevel="0" collapsed="false">
      <c r="A47" s="0" t="n">
        <f aca="false">A46+1</f>
        <v>11</v>
      </c>
      <c r="B47" s="0" t="n">
        <f aca="false">B46+$C$32</f>
        <v>1.5125</v>
      </c>
      <c r="C47" s="1" t="n">
        <f aca="false">1+(B47^2/$C$31)</f>
        <v>1.07625520833333</v>
      </c>
      <c r="D47" s="1" t="n">
        <f aca="false">C47^((($C$31+1)/2)*-1)</f>
        <v>0.320120417503711</v>
      </c>
      <c r="E47" s="1" t="n">
        <f aca="false">EXP(GAMMALN(($C$31+1)/2))/( (($C$31*PI())^0.5)*EXP(GAMMALN(($C$31/2))) )</f>
        <v>0.395632184894098</v>
      </c>
      <c r="F47" s="10" t="n">
        <f aca="false">D47*E47</f>
        <v>0.126649940206204</v>
      </c>
      <c r="G47" s="0" t="n">
        <v>4</v>
      </c>
      <c r="H47" s="3" t="n">
        <f aca="false">F47*G47*$E$32</f>
        <v>0.0232191557044708</v>
      </c>
    </row>
    <row r="48" customFormat="false" ht="15" hidden="false" customHeight="false" outlineLevel="0" collapsed="false">
      <c r="A48" s="0" t="n">
        <f aca="false">A47+1</f>
        <v>12</v>
      </c>
      <c r="B48" s="0" t="n">
        <f aca="false">B47+$C$32</f>
        <v>1.65</v>
      </c>
      <c r="C48" s="1" t="n">
        <f aca="false">1+(B48^2/$C$31)</f>
        <v>1.09075</v>
      </c>
      <c r="D48" s="1" t="n">
        <f aca="false">C48^((($C$31+1)/2)*-1)</f>
        <v>0.260171106672526</v>
      </c>
      <c r="E48" s="1" t="n">
        <f aca="false">EXP(GAMMALN(($C$31+1)/2))/( (($C$31*PI())^0.5)*EXP(GAMMALN(($C$31/2))) )</f>
        <v>0.395632184894098</v>
      </c>
      <c r="F48" s="10" t="n">
        <f aca="false">D48*E48</f>
        <v>0.102932063379167</v>
      </c>
      <c r="G48" s="0" t="n">
        <v>2</v>
      </c>
      <c r="H48" s="3" t="n">
        <f aca="false">F48*G48*$E$32</f>
        <v>0.0094354391430903</v>
      </c>
    </row>
    <row r="49" customFormat="false" ht="15" hidden="false" customHeight="false" outlineLevel="0" collapsed="false">
      <c r="A49" s="0" t="n">
        <f aca="false">A48+1</f>
        <v>13</v>
      </c>
      <c r="B49" s="0" t="n">
        <f aca="false">B48+$C$32</f>
        <v>1.7875</v>
      </c>
      <c r="C49" s="1" t="n">
        <f aca="false">1+(B49^2/$C$31)</f>
        <v>1.10650520833333</v>
      </c>
      <c r="D49" s="1" t="n">
        <f aca="false">C49^((($C$31+1)/2)*-1)</f>
        <v>0.208315378100154</v>
      </c>
      <c r="E49" s="1" t="n">
        <f aca="false">EXP(GAMMALN(($C$31+1)/2))/( (($C$31*PI())^0.5)*EXP(GAMMALN(($C$31/2))) )</f>
        <v>0.395632184894098</v>
      </c>
      <c r="F49" s="10" t="n">
        <f aca="false">D49*E49</f>
        <v>0.0824162681848041</v>
      </c>
      <c r="G49" s="0" t="n">
        <v>4</v>
      </c>
      <c r="H49" s="3" t="n">
        <f aca="false">F49*G49*$E$32</f>
        <v>0.0151096491672141</v>
      </c>
    </row>
    <row r="50" customFormat="false" ht="15" hidden="false" customHeight="false" outlineLevel="0" collapsed="false">
      <c r="A50" s="0" t="n">
        <f aca="false">A49+1</f>
        <v>14</v>
      </c>
      <c r="B50" s="0" t="n">
        <f aca="false">B49+$C$32</f>
        <v>1.925</v>
      </c>
      <c r="C50" s="1" t="n">
        <f aca="false">1+(B50^2/$C$31)</f>
        <v>1.12352083333333</v>
      </c>
      <c r="D50" s="1" t="n">
        <f aca="false">C50^((($C$31+1)/2)*-1)</f>
        <v>0.164434327474126</v>
      </c>
      <c r="E50" s="1" t="n">
        <f aca="false">EXP(GAMMALN(($C$31+1)/2))/( (($C$31*PI())^0.5)*EXP(GAMMALN(($C$31/2))) )</f>
        <v>0.395632184894098</v>
      </c>
      <c r="F50" s="10" t="n">
        <f aca="false">D50*E50</f>
        <v>0.06505551225018</v>
      </c>
      <c r="G50" s="0" t="n">
        <v>2</v>
      </c>
      <c r="H50" s="3" t="n">
        <f aca="false">F50*G50*$E$32</f>
        <v>0.0059634219562665</v>
      </c>
    </row>
    <row r="51" customFormat="false" ht="15" hidden="false" customHeight="false" outlineLevel="0" collapsed="false">
      <c r="A51" s="0" t="n">
        <f aca="false">A50+1</f>
        <v>15</v>
      </c>
      <c r="B51" s="0" t="n">
        <f aca="false">B50+$C$32</f>
        <v>2.0625</v>
      </c>
      <c r="C51" s="1" t="n">
        <f aca="false">1+(B51^2/$C$31)</f>
        <v>1.141796875</v>
      </c>
      <c r="D51" s="1" t="n">
        <f aca="false">C51^((($C$31+1)/2)*-1)</f>
        <v>0.128048007295415</v>
      </c>
      <c r="E51" s="1" t="n">
        <f aca="false">EXP(GAMMALN(($C$31+1)/2))/( (($C$31*PI())^0.5)*EXP(GAMMALN(($C$31/2))) )</f>
        <v>0.395632184894098</v>
      </c>
      <c r="F51" s="10" t="n">
        <f aca="false">D51*E51</f>
        <v>0.0506599128976205</v>
      </c>
      <c r="G51" s="0" t="n">
        <v>4</v>
      </c>
      <c r="H51" s="3" t="n">
        <f aca="false">F51*G51*$E$32</f>
        <v>0.0092876506978971</v>
      </c>
    </row>
    <row r="52" customFormat="false" ht="15" hidden="false" customHeight="false" outlineLevel="0" collapsed="false">
      <c r="A52" s="0" t="n">
        <f aca="false">A51+1</f>
        <v>16</v>
      </c>
      <c r="B52" s="0" t="n">
        <f aca="false">B51+$C$32</f>
        <v>2.2</v>
      </c>
      <c r="C52" s="1" t="n">
        <f aca="false">1+(B52^2/$C$31)</f>
        <v>1.16133333333333</v>
      </c>
      <c r="D52" s="1" t="n">
        <f aca="false">C52^((($C$31+1)/2)*-1)</f>
        <v>0.0984392236526552</v>
      </c>
      <c r="E52" s="1" t="n">
        <f aca="false">EXP(GAMMALN(($C$31+1)/2))/( (($C$31*PI())^0.5)*EXP(GAMMALN(($C$31/2))) )</f>
        <v>0.395632184894098</v>
      </c>
      <c r="F52" s="10" t="n">
        <f aca="false">D52*E52</f>
        <v>0.0389457251329788</v>
      </c>
      <c r="G52" s="0" t="n">
        <v>2</v>
      </c>
      <c r="H52" s="3" t="n">
        <f aca="false">F52*G52*$E$32</f>
        <v>0.00357002480385639</v>
      </c>
    </row>
    <row r="53" customFormat="false" ht="15" hidden="false" customHeight="false" outlineLevel="0" collapsed="false">
      <c r="A53" s="0" t="n">
        <f aca="false">A52+1</f>
        <v>17</v>
      </c>
      <c r="B53" s="0" t="n">
        <f aca="false">B52+$C$32</f>
        <v>2.3375</v>
      </c>
      <c r="C53" s="1" t="n">
        <f aca="false">1+(B53^2/$C$31)</f>
        <v>1.18213020833333</v>
      </c>
      <c r="D53" s="1" t="n">
        <f aca="false">C53^((($C$31+1)/2)*-1)</f>
        <v>0.0747631531816368</v>
      </c>
      <c r="E53" s="1" t="n">
        <f aca="false">EXP(GAMMALN(($C$31+1)/2))/( (($C$31*PI())^0.5)*EXP(GAMMALN(($C$31/2))) )</f>
        <v>0.395632184894098</v>
      </c>
      <c r="F53" s="10" t="n">
        <f aca="false">D53*E53</f>
        <v>0.0295787096428231</v>
      </c>
      <c r="G53" s="0" t="n">
        <v>4</v>
      </c>
      <c r="H53" s="3" t="n">
        <f aca="false">F53*G53*$E$32</f>
        <v>0.00542276343451757</v>
      </c>
    </row>
    <row r="54" customFormat="false" ht="15" hidden="false" customHeight="false" outlineLevel="0" collapsed="false">
      <c r="A54" s="0" t="n">
        <f aca="false">A53+1</f>
        <v>18</v>
      </c>
      <c r="B54" s="0" t="n">
        <f aca="false">B53+$C$32</f>
        <v>2.475</v>
      </c>
      <c r="C54" s="1" t="n">
        <f aca="false">1+(B54^2/$C$31)</f>
        <v>1.2041875</v>
      </c>
      <c r="D54" s="1" t="n">
        <f aca="false">C54^((($C$31+1)/2)*-1)</f>
        <v>0.0561359687502259</v>
      </c>
      <c r="E54" s="1" t="n">
        <f aca="false">EXP(GAMMALN(($C$31+1)/2))/( (($C$31*PI())^0.5)*EXP(GAMMALN(($C$31/2))) )</f>
        <v>0.395632184894098</v>
      </c>
      <c r="F54" s="10" t="n">
        <f aca="false">D54*E54</f>
        <v>0.0222091959677987</v>
      </c>
      <c r="G54" s="0" t="n">
        <v>2</v>
      </c>
      <c r="H54" s="3" t="n">
        <f aca="false">F54*G54*$E$32</f>
        <v>0.00203584296371488</v>
      </c>
    </row>
    <row r="55" customFormat="false" ht="15" hidden="false" customHeight="false" outlineLevel="0" collapsed="false">
      <c r="A55" s="0" t="n">
        <f aca="false">A54+1</f>
        <v>19</v>
      </c>
      <c r="B55" s="0" t="n">
        <f aca="false">B54+$C$32</f>
        <v>2.6125</v>
      </c>
      <c r="C55" s="1" t="n">
        <f aca="false">1+(B55^2/$C$31)</f>
        <v>1.22750520833333</v>
      </c>
      <c r="D55" s="1" t="n">
        <f aca="false">C55^((($C$31+1)/2)*-1)</f>
        <v>0.0417002036021512</v>
      </c>
      <c r="E55" s="1" t="n">
        <f aca="false">EXP(GAMMALN(($C$31+1)/2))/( (($C$31*PI())^0.5)*EXP(GAMMALN(($C$31/2))) )</f>
        <v>0.395632184894098</v>
      </c>
      <c r="F55" s="10" t="n">
        <f aca="false">D55*E55</f>
        <v>0.0164979426616478</v>
      </c>
      <c r="G55" s="0" t="n">
        <v>4</v>
      </c>
      <c r="H55" s="3" t="n">
        <f aca="false">F55*G55*$E$32</f>
        <v>0.0030246228213021</v>
      </c>
    </row>
    <row r="56" customFormat="false" ht="15" hidden="false" customHeight="false" outlineLevel="0" collapsed="false">
      <c r="A56" s="0" t="n">
        <f aca="false">A55+1</f>
        <v>20</v>
      </c>
      <c r="B56" s="0" t="n">
        <f aca="false">B55+$C$32</f>
        <v>2.75</v>
      </c>
      <c r="C56" s="1" t="n">
        <f aca="false">1+(B56^2/$C$31)</f>
        <v>1.25208333333333</v>
      </c>
      <c r="D56" s="1" t="n">
        <f aca="false">C56^((($C$31+1)/2)*-1)</f>
        <v>0.0306679582446199</v>
      </c>
      <c r="E56" s="1" t="n">
        <f aca="false">EXP(GAMMALN(($C$31+1)/2))/( (($C$31*PI())^0.5)*EXP(GAMMALN(($C$31/2))) )</f>
        <v>0.395632184894098</v>
      </c>
      <c r="F56" s="10" t="n">
        <f aca="false">D56*E56</f>
        <v>0.0121332313265599</v>
      </c>
      <c r="G56" s="0" t="n">
        <v>1</v>
      </c>
      <c r="H56" s="3" t="n">
        <f aca="false">F56*G56*$E$32</f>
        <v>0.000556106435800664</v>
      </c>
    </row>
    <row r="58" customFormat="false" ht="15" hidden="false" customHeight="false" outlineLevel="0" collapsed="false">
      <c r="C58" s="11" t="n">
        <f aca="false">SUM(C36:C56)</f>
        <v>22.8086979166667</v>
      </c>
      <c r="D58" s="1" t="n">
        <f aca="false">SUM(D36:D56)</f>
        <v>9.61389912758988</v>
      </c>
      <c r="G58" s="3" t="s">
        <v>13</v>
      </c>
      <c r="H58" s="3" t="n">
        <f aca="false">SUM(H36:H56)</f>
        <v>0.494999858248519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2020-05-16T23:21:23Z</dcterms:created>
  <dc:creator>m</dc:creator>
  <dc:description/>
  <dc:language>es-ES</dc:language>
  <cp:lastModifiedBy/>
  <dcterms:modified xsi:type="dcterms:W3CDTF">2025-12-02T21:53:39Z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